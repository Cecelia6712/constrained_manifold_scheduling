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4629b0610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e7412f6aff7742ab"/>
    <x:sheet xmlns:r="http://schemas.openxmlformats.org/officeDocument/2006/relationships" name="方案对比" sheetId="2" r:id="Ra03df789f87c4c48"/>
    <x:sheet xmlns:r="http://schemas.openxmlformats.org/officeDocument/2006/relationships" name="模型说明" sheetId="3" r:id="R052b1e22675d4838"/>
    <x:sheet xmlns:r="http://schemas.openxmlformats.org/officeDocument/2006/relationships" name="主方案排产" sheetId="4" r:id="R9078228d5dc342b1"/>
    <x:sheet xmlns:r="http://schemas.openxmlformats.org/officeDocument/2006/relationships" name="主方案需求" sheetId="5" r:id="R7c174c22e7c14093"/>
    <x:sheet xmlns:r="http://schemas.openxmlformats.org/officeDocument/2006/relationships" name="贪心排产" sheetId="6" r:id="Re1d0fa4a0e9a4475"/>
    <x:sheet xmlns:r="http://schemas.openxmlformats.org/officeDocument/2006/relationships" name="贪心需求" sheetId="7" r:id="R419b03acc1c74c2e"/>
    <x:sheet xmlns:r="http://schemas.openxmlformats.org/officeDocument/2006/relationships" name="均衡排产" sheetId="8" r:id="Rce5affbb035b41f8"/>
    <x:sheet xmlns:r="http://schemas.openxmlformats.org/officeDocument/2006/relationships" name="均衡需求" sheetId="9" r:id="R8e89b233935e4325"/>
    <x:sheet xmlns:r="http://schemas.openxmlformats.org/officeDocument/2006/relationships" name="敏感性分析" sheetId="10" r:id="R3aa40b45151b45ab"/>
    <x:sheet xmlns:r="http://schemas.openxmlformats.org/officeDocument/2006/relationships" name="产能参数" sheetId="11" r:id="R3358a00fb64c4820"/>
    <x:sheet xmlns:r="http://schemas.openxmlformats.org/officeDocument/2006/relationships" name="求解验证" sheetId="12" r:id="R3ceec53fe99d4f20"/>
    <x:sheet xmlns:r="http://schemas.openxmlformats.org/officeDocument/2006/relationships" name="排产热力图" sheetId="13" r:id="Re8695aacea114dc8"/>
    <x:sheet xmlns:r="http://schemas.openxmlformats.org/officeDocument/2006/relationships" name="完成率图" sheetId="14" r:id="Rb540e6449fd64678"/>
    <x:sheet xmlns:r="http://schemas.openxmlformats.org/officeDocument/2006/relationships" name="敏感性图" sheetId="15" r:id="R50403b203893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00"/>
    <x:numFmt numFmtId="203" formatCode="0"/>
    <x:numFmt numFmtId="204" formatCode="0.00%"/>
    <x:numFmt numFmtId="205" formatCode="0.00"/>
    <x:numFmt numFmtId="206" formatCode="0.000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595959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  <x:font>
      <x:b/>
      <x:sz val="10"/>
      <x:color rgb="FF17365D"/>
      <x:name val="Carlito"/>
    </x:font>
    <x:font>
      <x:sz val="11"/>
      <x:color rgb="FF375623"/>
      <x:name val="Carlito"/>
    </x:font>
    <x:font>
      <x:sz val="10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BF9000"/>
      </x:left>
      <x:top style="thin">
        <x:color rgb="FFBF9000"/>
      </x:top>
    </x:border>
    <x:border>
      <x:top style="thin">
        <x:color rgb="FFBF9000"/>
      </x:top>
    </x:border>
    <x:border>
      <x:right style="thin">
        <x:color rgb="FFBF9000"/>
      </x:right>
      <x:top style="thin">
        <x:color rgb="FFBF9000"/>
      </x:top>
    </x:border>
    <x:border>
      <x:left style="thin">
        <x:color rgb="FFBF9000"/>
      </x:left>
    </x:border>
    <x:border>
      <x:right style="thin">
        <x:color rgb="FFBF9000"/>
      </x:right>
    </x:border>
    <x:border>
      <x:left style="thin">
        <x:color rgb="FFBF9000"/>
      </x:left>
      <x:bottom style="thin">
        <x:color rgb="FFBF9000"/>
      </x:bottom>
    </x:border>
    <x:border>
      <x:bottom style="thin">
        <x:color rgb="FFBF9000"/>
      </x:bottom>
    </x:border>
    <x:border>
      <x:right style="thin">
        <x:color rgb="FFBF9000"/>
      </x:right>
      <x:bottom style="thin">
        <x:color rgb="FFBF900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2" fontId="4" fillId="0" borderId="2" xfId="0" applyNumberFormat="1" applyFont="1" applyFill="1" applyBorder="1" applyAlignment="1">
      <x:alignment horizontal="center" vertical="center"/>
    </x:xf>
    <x:xf numFmtId="203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1" fontId="4" fillId="0" borderId="2" xfId="0" applyNumberFormat="1" applyFont="1" applyFill="1" applyBorder="1" applyAlignment="1">
      <x:alignment horizontal="right" vertical="center"/>
    </x:xf>
    <x:xf numFmtId="202" fontId="4" fillId="0" borderId="2" xfId="0" applyNumberFormat="1" applyFont="1" applyFill="1" applyBorder="1" applyAlignment="1">
      <x:alignment horizontal="right" vertical="center"/>
    </x:xf>
    <x:xf numFmtId="0" fontId="4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horizontal="right" vertical="center"/>
    </x:xf>
    <x:xf numFmtId="203" fontId="4" fillId="0" borderId="2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18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4" fontId="4" fillId="6" borderId="2" xfId="0" applyNumberFormat="1" applyFont="1" applyFill="1" applyBorder="1" applyAlignment="1">
      <x:alignment vertical="center"/>
    </x:xf>
    <x:xf numFmtId="203" fontId="4" fillId="6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204" fontId="4" fillId="3" borderId="2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19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205" fontId="4" fillId="0" borderId="2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5" fontId="4" fillId="6" borderId="2" xfId="0" applyNumberFormat="1" applyFont="1" applyFill="1" applyBorder="1" applyAlignment="1">
      <x:alignment vertical="center"/>
    </x:xf>
    <x:xf numFmtId="206" fontId="4" fillId="6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ef17be3b04806" /><Relationship Type="http://schemas.openxmlformats.org/officeDocument/2006/relationships/theme" Target="/xl/theme/theme1.xml" Id="R054568c234f841d2" /><Relationship Type="http://schemas.openxmlformats.org/officeDocument/2006/relationships/sharedStrings" Target="/xl/sharedStrings.xml" Id="Rc2e25250c05e4e3e" /><Relationship Type="http://schemas.openxmlformats.org/officeDocument/2006/relationships/worksheet" Target="/xl/worksheets/sheet1.xml" Id="Re7412f6aff7742ab" /><Relationship Type="http://schemas.openxmlformats.org/officeDocument/2006/relationships/worksheet" Target="/xl/worksheets/sheet2.xml" Id="Ra03df789f87c4c48" /><Relationship Type="http://schemas.openxmlformats.org/officeDocument/2006/relationships/worksheet" Target="/xl/worksheets/sheet3.xml" Id="R052b1e22675d4838" /><Relationship Type="http://schemas.openxmlformats.org/officeDocument/2006/relationships/worksheet" Target="/xl/worksheets/sheet4.xml" Id="R9078228d5dc342b1" /><Relationship Type="http://schemas.openxmlformats.org/officeDocument/2006/relationships/worksheet" Target="/xl/worksheets/sheet5.xml" Id="R7c174c22e7c14093" /><Relationship Type="http://schemas.openxmlformats.org/officeDocument/2006/relationships/worksheet" Target="/xl/worksheets/sheet6.xml" Id="Re1d0fa4a0e9a4475" /><Relationship Type="http://schemas.openxmlformats.org/officeDocument/2006/relationships/worksheet" Target="/xl/worksheets/sheet7.xml" Id="R419b03acc1c74c2e" /><Relationship Type="http://schemas.openxmlformats.org/officeDocument/2006/relationships/worksheet" Target="/xl/worksheets/sheet8.xml" Id="Rce5affbb035b41f8" /><Relationship Type="http://schemas.openxmlformats.org/officeDocument/2006/relationships/worksheet" Target="/xl/worksheets/sheet9.xml" Id="R8e89b233935e4325" /><Relationship Type="http://schemas.openxmlformats.org/officeDocument/2006/relationships/worksheet" Target="/xl/worksheets/sheet10.xml" Id="R3aa40b45151b45ab" /><Relationship Type="http://schemas.openxmlformats.org/officeDocument/2006/relationships/worksheet" Target="/xl/worksheets/sheet11.xml" Id="R3358a00fb64c4820" /><Relationship Type="http://schemas.openxmlformats.org/officeDocument/2006/relationships/worksheet" Target="/xl/worksheets/sheet12.xml" Id="R3ceec53fe99d4f20" /><Relationship Type="http://schemas.openxmlformats.org/officeDocument/2006/relationships/worksheet" Target="/xl/worksheets/sheet13.xml" Id="Re8695aacea114dc8" /><Relationship Type="http://schemas.openxmlformats.org/officeDocument/2006/relationships/worksheet" Target="/xl/worksheets/sheet14.xml" Id="Rb540e6449fd64678" /><Relationship Type="http://schemas.openxmlformats.org/officeDocument/2006/relationships/worksheet" Target="/xl/worksheets/sheet15.xml" Id="R50403b2038934f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d4b3d39f9484e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9e6aa5e9e83401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01a53dcfd10b4b8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239500" cy="6858000"/>
    <xdr:pic>
      <xdr:nvPicPr>
        <xdr:cNvPr id="1" name="7adaad58-2137-43cf-b408-3184586a4b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4b3d39f948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239500" cy="6858000"/>
    <xdr:pic>
      <xdr:nvPicPr>
        <xdr:cNvPr id="1" name="e3ffa980-7a43-4ffb-a5f2-069cd00c62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e6aa5e9e8340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239500" cy="6858000"/>
    <xdr:pic>
      <xdr:nvPicPr>
        <xdr:cNvPr id="1" name="833f4bdb-3d47-4ecf-bc1d-d368271537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a53dcfd10b4b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MainScheduleTable" displayName="MainScheduleTable" ref="A4:L144" headerRowCount="1" totalsRowCount="0" totalsRowShown="0">
  <x:autoFilter ref="A4:L144"/>
  <x:tableColumns count="12">
    <x:tableColumn id="1" name="﻿生产日期"/>
    <x:tableColumn id="2" name="班次"/>
    <x:tableColumn id="3" name="产线"/>
    <x:tableColumn id="4" name="产品"/>
    <x:tableColumn id="5" name="酒质"/>
    <x:tableColumn id="6" name="计划生产量"/>
    <x:tableColumn id="7" name="班次产能估计"/>
    <x:tableColumn id="8" name="产能利用率"/>
    <x:tableColumn id="9" name="产线偏好得分"/>
    <x:tableColumn id="10" name="产品换产标记"/>
    <x:tableColumn id="11" name="酒质切换标记"/>
    <x:tableColumn id="12" name="模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emandTable" displayName="MainDemandTable" ref="A4:F31" headerRowCount="1" totalsRowCount="0" totalsRowShown="0">
  <x:autoFilter ref="A4:F31"/>
  <x:tableColumns count="6">
    <x:tableColumn id="1" name="﻿产品"/>
    <x:tableColumn id="2" name="酒质"/>
    <x:tableColumn id="3" name="需求量"/>
    <x:tableColumn id="4" name="排产量"/>
    <x:tableColumn id="5" name="剩余量"/>
    <x:tableColumn id="6" name="完成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eedyScheduleTable" displayName="GreedyScheduleTable" ref="A4:L144" headerRowCount="1" totalsRowCount="0" totalsRowShown="0">
  <x:autoFilter ref="A4:L144"/>
  <x:tableColumns count="12">
    <x:tableColumn id="1" name="﻿生产日期"/>
    <x:tableColumn id="2" name="班次"/>
    <x:tableColumn id="3" name="产线"/>
    <x:tableColumn id="4" name="产品"/>
    <x:tableColumn id="5" name="酒质"/>
    <x:tableColumn id="6" name="计划生产量"/>
    <x:tableColumn id="7" name="班次产能估计"/>
    <x:tableColumn id="8" name="产能利用率"/>
    <x:tableColumn id="9" name="产线偏好得分"/>
    <x:tableColumn id="10" name="产品换产标记"/>
    <x:tableColumn id="11" name="酒质切换标记"/>
    <x:tableColumn id="12" name="模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eedyDemandTable" displayName="GreedyDemandTable" ref="A4:F31" headerRowCount="1" totalsRowCount="0" totalsRowShown="0">
  <x:autoFilter ref="A4:F31"/>
  <x:tableColumns count="6">
    <x:tableColumn id="1" name="﻿产品"/>
    <x:tableColumn id="2" name="酒质"/>
    <x:tableColumn id="3" name="需求量"/>
    <x:tableColumn id="4" name="排产量"/>
    <x:tableColumn id="5" name="剩余量"/>
    <x:tableColumn id="6" name="完成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dScheduleTable" displayName="BalancedScheduleTable" ref="A4:L144" headerRowCount="1" totalsRowCount="0" totalsRowShown="0">
  <x:autoFilter ref="A4:L144"/>
  <x:tableColumns count="12">
    <x:tableColumn id="1" name="﻿生产日期"/>
    <x:tableColumn id="2" name="班次"/>
    <x:tableColumn id="3" name="产线"/>
    <x:tableColumn id="4" name="产品"/>
    <x:tableColumn id="5" name="酒质"/>
    <x:tableColumn id="6" name="计划生产量"/>
    <x:tableColumn id="7" name="班次产能估计"/>
    <x:tableColumn id="8" name="产能利用率"/>
    <x:tableColumn id="9" name="产线偏好得分"/>
    <x:tableColumn id="10" name="产品换产标记"/>
    <x:tableColumn id="11" name="酒质切换标记"/>
    <x:tableColumn id="12" name="模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lancedDemandTable" displayName="BalancedDemandTable" ref="A4:F31" headerRowCount="1" totalsRowCount="0" totalsRowShown="0">
  <x:autoFilter ref="A4:F31"/>
  <x:tableColumns count="6">
    <x:tableColumn id="1" name="﻿产品"/>
    <x:tableColumn id="2" name="酒质"/>
    <x:tableColumn id="3" name="需求量"/>
    <x:tableColumn id="4" name="排产量"/>
    <x:tableColumn id="5" name="剩余量"/>
    <x:tableColumn id="6" name="完成率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nsitivityTable" displayName="SensitivityTable" ref="A4:M14" headerRowCount="1" totalsRowCount="0" totalsRowShown="0">
  <x:autoFilter ref="A4:M14"/>
  <x:tableColumns count="13">
    <x:tableColumn id="1" name="情景"/>
    <x:tableColumn id="2" name="总排产量"/>
    <x:tableColumn id="3" name="总剩余量"/>
    <x:tableColumn id="4" name="完成率"/>
    <x:tableColumn id="5" name="产品换产"/>
    <x:tableColumn id="6" name="酒质切换"/>
    <x:tableColumn id="7" name="开工班次"/>
    <x:tableColumn id="8" name="完全满足组合"/>
    <x:tableColumn id="9" name="部分满足组合"/>
    <x:tableColumn id="10" name="未排组合"/>
    <x:tableColumn id="11" name="求解秒数"/>
    <x:tableColumn id="12" name="MIP间隙"/>
    <x:tableColumn id="13" name="求解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pacityTable" displayName="CapacityTable" ref="A4:V229" headerRowCount="1" totalsRowCount="0" totalsRowShown="0">
  <x:autoFilter ref="A4:V229"/>
  <x:tableColumns count="22">
    <x:tableColumn id="1" name="﻿产品"/>
    <x:tableColumn id="2" name="酒质"/>
    <x:tableColumn id="3" name="产线"/>
    <x:tableColumn id="4" name="样本数"/>
    <x:tableColumn id="5" name="全部历史样本数"/>
    <x:tableColumn id="6" name="产能样本来源"/>
    <x:tableColumn id="7" name="组内分位产能"/>
    <x:tableColumn id="8" name="父组分位产能"/>
    <x:tableColumn id="9" name="历史最大值"/>
    <x:tableColumn id="10" name="估计班次产能"/>
    <x:tableColumn id="11" name="稳健变异系数"/>
    <x:tableColumn id="12" name="历史负载率"/>
    <x:tableColumn id="13" name="Bootstrap下限"/>
    <x:tableColumn id="14" name="Bootstrap上限"/>
    <x:tableColumn id="15" name="历史分配次数"/>
    <x:tableColumn id="16" name="历史分配份额"/>
    <x:tableColumn id="17" name="产能归一值"/>
    <x:tableColumn id="18" name="稳定性归一值"/>
    <x:tableColumn id="19" name="负载率归一值"/>
    <x:tableColumn id="20" name="分配份额归一值"/>
    <x:tableColumn id="21" name="偏好得分"/>
    <x:tableColumn id="22" name="产线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882503caa9e48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18117551bef43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428bd88320044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122cc63758a4f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d88ac8c95b447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dea8133f86a418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880218a0da548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d7055380ffb48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49868018c3ce4e9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529e1e858a5f40e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3.xml" Id="R7d43fbb87fff49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8" hidden="0" customWidth="1"/>
  </x:cols>
  <x:sheetData>
    <x:row r="1" ht="30" customHeight="1">
      <x:c r="A1" s="4" t="str">
        <x:v>A题问题二｜字典序MILP周排产方案</x:v>
      </x:c>
      <x:c r="B1" s="4" t="str">
        <x:v>A题问题二｜字典序MILP周排产方案</x:v>
      </x:c>
      <x:c r="C1" s="4" t="str">
        <x:v>A题问题二｜字典序MILP周排产方案</x:v>
      </x:c>
      <x:c r="D1" s="4" t="str">
        <x:v>A题问题二｜字典序MILP周排产方案</x:v>
      </x:c>
      <x:c r="E1" s="4" t="str">
        <x:v>A题问题二｜字典序MILP周排产方案</x:v>
      </x:c>
      <x:c r="F1" s="4" t="str">
        <x:v>A题问题二｜字典序MILP周排产方案</x:v>
      </x:c>
      <x:c r="G1" s="4" t="str">
        <x:v>A题问题二｜字典序MILP周排产方案</x:v>
      </x:c>
      <x:c r="H1" s="4" t="str">
        <x:v>A题问题二｜字典序MILP周排产方案</x:v>
      </x:c>
    </x:row>
    <x:row r="2" ht="22" customHeight="1">
      <x:c r="A2" s="8" t="str">
        <x:v>冻结版本：总剩余量 → 产品换产 → 酒质切换 → 历史偏好 → 开工班次</x:v>
      </x:c>
      <x:c r="B2" s="8" t="str">
        <x:v>冻结版本：总剩余量 → 产品换产 → 酒质切换 → 历史偏好 → 开工班次</x:v>
      </x:c>
      <x:c r="C2" s="8" t="str">
        <x:v>冻结版本：总剩余量 → 产品换产 → 酒质切换 → 历史偏好 → 开工班次</x:v>
      </x:c>
      <x:c r="D2" s="8" t="str">
        <x:v>冻结版本：总剩余量 → 产品换产 → 酒质切换 → 历史偏好 → 开工班次</x:v>
      </x:c>
      <x:c r="E2" s="8" t="str">
        <x:v>冻结版本：总剩余量 → 产品换产 → 酒质切换 → 历史偏好 → 开工班次</x:v>
      </x:c>
      <x:c r="F2" s="8" t="str">
        <x:v>冻结版本：总剩余量 → 产品换产 → 酒质切换 → 历史偏好 → 开工班次</x:v>
      </x:c>
      <x:c r="G2" s="8" t="str">
        <x:v>冻结版本：总剩余量 → 产品换产 → 酒质切换 → 历史偏好 → 开工班次</x:v>
      </x:c>
      <x:c r="H2" s="8" t="str">
        <x:v>冻结版本：总剩余量 → 产品换产 → 酒质切换 → 历史偏好 → 开工班次</x:v>
      </x:c>
    </x:row>
    <x:row r="4" ht="26" customHeight="1">
      <x:c r="A4" s="14" t="str">
        <x:v>核心指标</x:v>
      </x:c>
      <x:c r="B4" s="14" t="str">
        <x:v>结果</x:v>
      </x:c>
      <x:c r="D4" s="14" t="str">
        <x:v>结论与适用范围</x:v>
      </x:c>
      <x:c r="E4" s="14" t="str">
        <x:v>结论与适用范围</x:v>
      </x:c>
      <x:c r="F4" s="14" t="str">
        <x:v>结论与适用范围</x:v>
      </x:c>
      <x:c r="G4" s="14" t="str">
        <x:v>结论与适用范围</x:v>
      </x:c>
      <x:c r="H4" s="14" t="str">
        <x:v>结论与适用范围</x:v>
      </x:c>
    </x:row>
    <x:row r="5" ht="24" customHeight="1">
      <x:c r="A5" s="31" t="str">
        <x:v>总需求量</x:v>
      </x:c>
      <x:c r="B5" s="27" t="n">
        <x:f>SUM('主方案需求'!C5:C31)</x:f>
        <x:v>11843810</x:v>
      </x:c>
      <x:c r="D5" s="54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E5" s="55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F5" s="55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G5" s="55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H5" s="56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</x:row>
    <x:row r="6" ht="24" customHeight="1">
      <x:c r="A6" s="31" t="str">
        <x:v>总排产量</x:v>
      </x:c>
      <x:c r="B6" s="27" t="n">
        <x:f>SUM('主方案需求'!D5:D31)</x:f>
        <x:v>4482980</x:v>
      </x:c>
      <x:c r="D6" s="57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E6" s="58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F6" s="58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G6" s="58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H6" s="59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</x:row>
    <x:row r="7" ht="24" customHeight="1">
      <x:c r="A7" s="31" t="str">
        <x:v>总剩余量</x:v>
      </x:c>
      <x:c r="B7" s="27" t="n">
        <x:f>SUM('主方案需求'!E5:E31)</x:f>
        <x:v>7360830</x:v>
      </x:c>
      <x:c r="D7" s="57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E7" s="58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F7" s="58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G7" s="58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H7" s="59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</x:row>
    <x:row r="8" ht="24" customHeight="1">
      <x:c r="A8" s="31" t="str">
        <x:v>总完成率</x:v>
      </x:c>
      <x:c r="B8" s="33" t="n">
        <x:f>B6/B5</x:f>
        <x:v>0.37850826718767017</x:v>
      </x:c>
      <x:c r="D8" s="60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E8" s="61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F8" s="61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G8" s="61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  <x:c r="H8" s="62" t="str">
        <x:v>在Q95收缩产能与历史兼容关系下，主方案以4,482,980的排产量达到37.85%完成率，仅发生1次产品换产和1次酒质切换。需求显著高于一周可用产能，因此剩余量为结构性产能缺口，不能通过调序消除。</x:v>
      </x:c>
    </x:row>
    <x:row r="9" ht="20" customHeight="1">
      <x:c r="A9" s="31" t="str">
        <x:v>产品换产次数</x:v>
      </x:c>
      <x:c r="B9" s="34" t="n">
        <x:f>SUM('主方案排产'!J5:J144)</x:f>
        <x:v>1</x:v>
      </x:c>
    </x:row>
    <x:row r="10" ht="26" customHeight="1">
      <x:c r="A10" s="31" t="str">
        <x:v>酒质切换次数</x:v>
      </x:c>
      <x:c r="B10" s="34" t="n">
        <x:f>SUM('主方案排产'!K5:K144)</x:f>
        <x:v>1</x:v>
      </x:c>
      <x:c r="D10" s="14" t="str">
        <x:v>使用提示</x:v>
      </x:c>
      <x:c r="E10" s="14" t="str">
        <x:v>使用提示</x:v>
      </x:c>
      <x:c r="F10" s="14" t="str">
        <x:v>使用提示</x:v>
      </x:c>
      <x:c r="G10" s="14" t="str">
        <x:v>使用提示</x:v>
      </x:c>
      <x:c r="H10" s="14" t="str">
        <x:v>使用提示</x:v>
      </x:c>
    </x:row>
    <x:row r="11" ht="23" customHeight="1">
      <x:c r="A11" s="31" t="str">
        <x:v>开工班次</x:v>
      </x:c>
      <x:c r="B11" s="34" t="n">
        <x:f>COUNTIF('主方案排产'!F5:F144,"&gt;0")</x:f>
        <x:v>130</x:v>
      </x:c>
      <x:c r="D11" s="82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E11" s="83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F11" s="83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G11" s="83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H11" s="84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</x:row>
    <x:row r="12" ht="23" customHeight="1">
      <x:c r="A12" s="31" t="str">
        <x:v>完全满足组合</x:v>
      </x:c>
      <x:c r="B12" s="34" t="n">
        <x:f>COUNTIF('主方案需求'!F5:F31,1)</x:f>
        <x:v>3</x:v>
      </x:c>
      <x:c r="D12" s="85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E12" s="86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F12" s="86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G12" s="86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H12" s="87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</x:row>
    <x:row r="13" ht="23" customHeight="1">
      <x:c r="A13" s="31" t="str">
        <x:v>未排组合</x:v>
      </x:c>
      <x:c r="B13" s="34" t="n">
        <x:f>COUNTIF('主方案需求'!D5:D31,0)</x:f>
        <x:v>17</x:v>
      </x:c>
      <x:c r="D13" s="88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E13" s="89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F13" s="89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G13" s="89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  <x:c r="H13" s="90" t="str">
        <x:v>主方案适合强调总量与低换产；若强调订单覆盖公平性，请同时查看“均衡排产/均衡需求”，其覆盖21个组合但总排产量下降。所有正文数字应从本工作簿公式或冻结JSON追溯。</x:v>
      </x:c>
    </x:row>
    <x:row r="16" ht="26" customHeight="1">
      <x:c r="A16" s="14" t="str">
        <x:v>关键结果对照</x:v>
      </x:c>
      <x:c r="B16" s="14" t="str">
        <x:v>关键结果对照</x:v>
      </x:c>
      <x:c r="C16" s="14" t="str">
        <x:v>关键结果对照</x:v>
      </x:c>
      <x:c r="D16" s="14" t="str">
        <x:v>关键结果对照</x:v>
      </x:c>
      <x:c r="E16" s="14" t="str">
        <x:v>关键结果对照</x:v>
      </x:c>
      <x:c r="F16" s="14" t="str">
        <x:v>关键结果对照</x:v>
      </x:c>
      <x:c r="G16" s="14" t="str">
        <x:v>关键结果对照</x:v>
      </x:c>
      <x:c r="H16" s="14" t="str">
        <x:v>关键结果对照</x:v>
      </x:c>
    </x:row>
    <x:row r="17" ht="26" customHeight="1">
      <x:c r="A17" s="14" t="str">
        <x:v>方案</x:v>
      </x:c>
      <x:c r="B17" s="14" t="str">
        <x:v>总排产量</x:v>
      </x:c>
      <x:c r="C17" s="14" t="str">
        <x:v>完成率</x:v>
      </x:c>
      <x:c r="D17" s="14" t="str">
        <x:v>产品换产</x:v>
      </x:c>
      <x:c r="E17" s="14" t="str">
        <x:v>酒质切换</x:v>
      </x:c>
      <x:c r="F17" s="14" t="str">
        <x:v>完全满足</x:v>
      </x:c>
      <x:c r="G17" s="14" t="str">
        <x:v>未排组合</x:v>
      </x:c>
      <x:c r="H17" s="14" t="str">
        <x:v>定位</x:v>
      </x:c>
    </x:row>
    <x:row r="18" ht="20" customHeight="1">
      <x:c r="A18" s="17" t="str">
        <x:v>贪心基线</x:v>
      </x:c>
      <x:c r="B18" s="18" t="n">
        <x:f>'方案对比'!C5</x:f>
        <x:v>4013544</x:v>
      </x:c>
      <x:c r="C18" s="32" t="n">
        <x:f>'方案对比'!E5</x:f>
        <x:v>0.33887271072399844</x:v>
      </x:c>
      <x:c r="D18" s="21" t="n">
        <x:f>'方案对比'!F5</x:f>
        <x:v>9</x:v>
      </x:c>
      <x:c r="E18" s="21" t="n">
        <x:f>'方案对比'!G5</x:f>
        <x:v>6</x:v>
      </x:c>
      <x:c r="F18" s="21" t="n">
        <x:f>'方案对比'!I5</x:f>
        <x:v>0</x:v>
      </x:c>
      <x:c r="G18" s="21" t="n">
        <x:f>'方案对比'!K5</x:f>
        <x:v>16</x:v>
      </x:c>
      <x:c r="H18" s="17" t="str">
        <x:v>简单可复现基线</x:v>
      </x:c>
    </x:row>
    <x:row r="19" ht="20" customHeight="1">
      <x:c r="A19" s="17" t="str">
        <x:v>均衡MILP</x:v>
      </x:c>
      <x:c r="B19" s="18" t="n">
        <x:f>'方案对比'!C6</x:f>
        <x:v>3882184</x:v>
      </x:c>
      <x:c r="C19" s="32" t="n">
        <x:f>'方案对比'!E6</x:f>
        <x:v>0.3277816851165292</x:v>
      </x:c>
      <x:c r="D19" s="21" t="n">
        <x:f>'方案对比'!F6</x:f>
        <x:v>9</x:v>
      </x:c>
      <x:c r="E19" s="21" t="n">
        <x:f>'方案对比'!G6</x:f>
        <x:v>4</x:v>
      </x:c>
      <x:c r="F19" s="21" t="n">
        <x:f>'方案对比'!I6</x:f>
        <x:v>11</x:v>
      </x:c>
      <x:c r="G19" s="21" t="n">
        <x:f>'方案对比'!K6</x:f>
        <x:v>6</x:v>
      </x:c>
      <x:c r="H19" s="17" t="str">
        <x:v>覆盖优先对照</x:v>
      </x:c>
    </x:row>
    <x:row r="20" ht="20" customHeight="1">
      <x:c r="A20" s="91" t="str">
        <x:v>主方案MILP</x:v>
      </x:c>
      <x:c r="B20" s="92" t="n">
        <x:f>'方案对比'!C7</x:f>
        <x:v>4482980</x:v>
      </x:c>
      <x:c r="C20" s="93" t="n">
        <x:f>'方案对比'!E7</x:f>
        <x:v>0.37850826718767017</x:v>
      </x:c>
      <x:c r="D20" s="94" t="n">
        <x:f>'方案对比'!F7</x:f>
        <x:v>1</x:v>
      </x:c>
      <x:c r="E20" s="94" t="n">
        <x:f>'方案对比'!G7</x:f>
        <x:v>1</x:v>
      </x:c>
      <x:c r="F20" s="94" t="n">
        <x:f>'方案对比'!I7</x:f>
        <x:v>3</x:v>
      </x:c>
      <x:c r="G20" s="94" t="n">
        <x:f>'方案对比'!K7</x:f>
        <x:v>17</x:v>
      </x:c>
      <x:c r="H20" s="91" t="str">
        <x:v>总量优先推荐方案</x:v>
      </x:c>
    </x:row>
    <x:row r="21" ht="20" customHeight="1">
      <x:c r="A21" s="95" t="str">
        <x:v>主方案较基线</x:v>
      </x:c>
      <x:c r="B21" s="96" t="n">
        <x:f>B20-B18</x:f>
        <x:v>469436</x:v>
      </x:c>
      <x:c r="C21" s="97" t="n">
        <x:f>C20-C18</x:f>
        <x:v>0.03963555646367173</x:v>
      </x:c>
      <x:c r="D21" s="98" t="n">
        <x:f>D20-D18</x:f>
        <x:v>-8</x:v>
      </x:c>
      <x:c r="E21" s="98" t="n">
        <x:f>E20-E18</x:f>
        <x:v>-5</x:v>
      </x:c>
      <x:c r="F21" s="98" t="n">
        <x:f>F20-F18</x:f>
        <x:v>3</x:v>
      </x:c>
      <x:c r="G21" s="98" t="n">
        <x:f>G20-G18</x:f>
        <x:v>1</x:v>
      </x:c>
      <x:c r="H21" s="95" t="str">
        <x:v>改进量</x:v>
      </x:c>
    </x:row>
  </x:sheetData>
  <x:mergeCells>
    <x:mergeCell ref="A1:H1"/>
    <x:mergeCell ref="A2:H2"/>
    <x:mergeCell ref="D4:H4"/>
    <x:mergeCell ref="D5:H8"/>
    <x:mergeCell ref="D10:H10"/>
    <x:mergeCell ref="D11:H1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2" hidden="0" customWidth="1"/>
  </x:cols>
  <x:sheetData>
    <x:row r="1" ht="30" customHeight="1">
      <x:c r="A1" s="4" t="str">
        <x:v>三类方案量化对比</x:v>
      </x:c>
      <x:c r="B1" s="4" t="str">
        <x:v>三类方案量化对比</x:v>
      </x:c>
      <x:c r="C1" s="4" t="str">
        <x:v>三类方案量化对比</x:v>
      </x:c>
      <x:c r="D1" s="4" t="str">
        <x:v>三类方案量化对比</x:v>
      </x:c>
      <x:c r="E1" s="4" t="str">
        <x:v>三类方案量化对比</x:v>
      </x:c>
      <x:c r="F1" s="4" t="str">
        <x:v>三类方案量化对比</x:v>
      </x:c>
      <x:c r="G1" s="4" t="str">
        <x:v>三类方案量化对比</x:v>
      </x:c>
      <x:c r="H1" s="4" t="str">
        <x:v>三类方案量化对比</x:v>
      </x:c>
      <x:c r="I1" s="4" t="str">
        <x:v>三类方案量化对比</x:v>
      </x:c>
      <x:c r="J1" s="4" t="str">
        <x:v>三类方案量化对比</x:v>
      </x:c>
      <x:c r="K1" s="4" t="str">
        <x:v>三类方案量化对比</x:v>
      </x:c>
      <x:c r="L1" s="4" t="str">
        <x:v>三类方案量化对比</x:v>
      </x:c>
    </x:row>
    <x:row r="2" ht="22" customHeight="1">
      <x:c r="A2" s="8" t="str">
        <x:v>所有指标由各方案排产明细和需求完成表实时汇总</x:v>
      </x:c>
      <x:c r="B2" s="8" t="str">
        <x:v>所有指标由各方案排产明细和需求完成表实时汇总</x:v>
      </x:c>
      <x:c r="C2" s="8" t="str">
        <x:v>所有指标由各方案排产明细和需求完成表实时汇总</x:v>
      </x:c>
      <x:c r="D2" s="8" t="str">
        <x:v>所有指标由各方案排产明细和需求完成表实时汇总</x:v>
      </x:c>
      <x:c r="E2" s="8" t="str">
        <x:v>所有指标由各方案排产明细和需求完成表实时汇总</x:v>
      </x:c>
      <x:c r="F2" s="8" t="str">
        <x:v>所有指标由各方案排产明细和需求完成表实时汇总</x:v>
      </x:c>
      <x:c r="G2" s="8" t="str">
        <x:v>所有指标由各方案排产明细和需求完成表实时汇总</x:v>
      </x:c>
      <x:c r="H2" s="8" t="str">
        <x:v>所有指标由各方案排产明细和需求完成表实时汇总</x:v>
      </x:c>
      <x:c r="I2" s="8" t="str">
        <x:v>所有指标由各方案排产明细和需求完成表实时汇总</x:v>
      </x:c>
      <x:c r="J2" s="8" t="str">
        <x:v>所有指标由各方案排产明细和需求完成表实时汇总</x:v>
      </x:c>
      <x:c r="K2" s="8" t="str">
        <x:v>所有指标由各方案排产明细和需求完成表实时汇总</x:v>
      </x:c>
      <x:c r="L2" s="8" t="str">
        <x:v>所有指标由各方案排产明细和需求完成表实时汇总</x:v>
      </x:c>
    </x:row>
    <x:row r="4" ht="26" customHeight="1">
      <x:c r="A4" s="14" t="str">
        <x:v>方案</x:v>
      </x:c>
      <x:c r="B4" s="14" t="str">
        <x:v>总需求</x:v>
      </x:c>
      <x:c r="C4" s="14" t="str">
        <x:v>总排产</x:v>
      </x:c>
      <x:c r="D4" s="14" t="str">
        <x:v>总剩余</x:v>
      </x:c>
      <x:c r="E4" s="14" t="str">
        <x:v>完成率</x:v>
      </x:c>
      <x:c r="F4" s="14" t="str">
        <x:v>产品换产</x:v>
      </x:c>
      <x:c r="G4" s="14" t="str">
        <x:v>酒质切换</x:v>
      </x:c>
      <x:c r="H4" s="14" t="str">
        <x:v>开工班次</x:v>
      </x:c>
      <x:c r="I4" s="14" t="str">
        <x:v>完全满足</x:v>
      </x:c>
      <x:c r="J4" s="14" t="str">
        <x:v>部分满足</x:v>
      </x:c>
      <x:c r="K4" s="14" t="str">
        <x:v>未排组合</x:v>
      </x:c>
      <x:c r="L4" s="14" t="str">
        <x:v>定位</x:v>
      </x:c>
    </x:row>
    <x:row r="5" ht="20" customHeight="1">
      <x:c r="A5" s="17" t="str">
        <x:v>贪心基线</x:v>
      </x:c>
      <x:c r="B5" s="18" t="n">
        <x:f>SUM('贪心需求'!C5:C31)</x:f>
        <x:v>11843810</x:v>
      </x:c>
      <x:c r="C5" s="18" t="n">
        <x:f>SUM('贪心需求'!D5:D31)</x:f>
        <x:v>4013544</x:v>
      </x:c>
      <x:c r="D5" s="18" t="n">
        <x:f>SUM('贪心需求'!E5:E31)</x:f>
        <x:v>7830266</x:v>
      </x:c>
      <x:c r="E5" s="32" t="n">
        <x:f>C5/B5</x:f>
        <x:v>0.33887271072399844</x:v>
      </x:c>
      <x:c r="F5" s="21" t="n">
        <x:f>SUM('贪心排产'!J5:J144)</x:f>
        <x:v>9</x:v>
      </x:c>
      <x:c r="G5" s="21" t="n">
        <x:f>SUM('贪心排产'!K5:K144)</x:f>
        <x:v>6</x:v>
      </x:c>
      <x:c r="H5" s="21" t="n">
        <x:f>COUNTIF('贪心排产'!F5:F144,"&gt;0")</x:f>
        <x:v>130</x:v>
      </x:c>
      <x:c r="I5" s="21" t="n">
        <x:f>COUNTIF('贪心需求'!F5:F31,1)</x:f>
        <x:v>0</x:v>
      </x:c>
      <x:c r="J5" s="21" t="n">
        <x:f>COUNTIF('贪心需求'!D5:D31,"&gt;0")-I5</x:f>
        <x:v>11</x:v>
      </x:c>
      <x:c r="K5" s="21" t="n">
        <x:f>COUNTIF('贪心需求'!D5:D31,0)</x:f>
        <x:v>16</x:v>
      </x:c>
      <x:c r="L5" s="17" t="str">
        <x:v>速度快、作为基线</x:v>
      </x:c>
    </x:row>
    <x:row r="6" ht="20" customHeight="1">
      <x:c r="A6" s="17" t="str">
        <x:v>均衡MILP</x:v>
      </x:c>
      <x:c r="B6" s="18" t="n">
        <x:f>SUM('均衡需求'!C5:C31)</x:f>
        <x:v>11843810</x:v>
      </x:c>
      <x:c r="C6" s="18" t="n">
        <x:f>SUM('均衡需求'!D5:D31)</x:f>
        <x:v>3882184</x:v>
      </x:c>
      <x:c r="D6" s="18" t="n">
        <x:f>SUM('均衡需求'!E5:E31)</x:f>
        <x:v>7961626</x:v>
      </x:c>
      <x:c r="E6" s="32" t="n">
        <x:f>C6/B6</x:f>
        <x:v>0.3277816851165292</x:v>
      </x:c>
      <x:c r="F6" s="21" t="n">
        <x:f>SUM('均衡排产'!J5:J144)</x:f>
        <x:v>9</x:v>
      </x:c>
      <x:c r="G6" s="21" t="n">
        <x:f>SUM('均衡排产'!K5:K144)</x:f>
        <x:v>4</x:v>
      </x:c>
      <x:c r="H6" s="21" t="n">
        <x:f>COUNTIF('均衡排产'!F5:F144,"&gt;0")</x:f>
        <x:v>130</x:v>
      </x:c>
      <x:c r="I6" s="21" t="n">
        <x:f>COUNTIF('均衡需求'!F5:F31,1)</x:f>
        <x:v>11</x:v>
      </x:c>
      <x:c r="J6" s="21" t="n">
        <x:f>COUNTIF('均衡需求'!D5:D31,"&gt;0")-I6</x:f>
        <x:v>10</x:v>
      </x:c>
      <x:c r="K6" s="21" t="n">
        <x:f>COUNTIF('均衡需求'!D5:D31,0)</x:f>
        <x:v>6</x:v>
      </x:c>
      <x:c r="L6" s="17" t="str">
        <x:v>覆盖面更广</x:v>
      </x:c>
    </x:row>
    <x:row r="7" ht="20" customHeight="1">
      <x:c r="A7" s="91" t="str">
        <x:v>主方案MILP</x:v>
      </x:c>
      <x:c r="B7" s="92" t="n">
        <x:f>SUM('主方案需求'!C5:C31)</x:f>
        <x:v>11843810</x:v>
      </x:c>
      <x:c r="C7" s="92" t="n">
        <x:f>SUM('主方案需求'!D5:D31)</x:f>
        <x:v>4482980</x:v>
      </x:c>
      <x:c r="D7" s="92" t="n">
        <x:f>SUM('主方案需求'!E5:E31)</x:f>
        <x:v>7360830</x:v>
      </x:c>
      <x:c r="E7" s="93" t="n">
        <x:f>C7/B7</x:f>
        <x:v>0.37850826718767017</x:v>
      </x:c>
      <x:c r="F7" s="94" t="n">
        <x:f>SUM('主方案排产'!J5:J144)</x:f>
        <x:v>1</x:v>
      </x:c>
      <x:c r="G7" s="94" t="n">
        <x:f>SUM('主方案排产'!K5:K144)</x:f>
        <x:v>1</x:v>
      </x:c>
      <x:c r="H7" s="94" t="n">
        <x:f>COUNTIF('主方案排产'!F5:F144,"&gt;0")</x:f>
        <x:v>130</x:v>
      </x:c>
      <x:c r="I7" s="94" t="n">
        <x:f>COUNTIF('主方案需求'!F5:F31,1)</x:f>
        <x:v>3</x:v>
      </x:c>
      <x:c r="J7" s="94" t="n">
        <x:f>COUNTIF('主方案需求'!D5:D31,"&gt;0")-I7</x:f>
        <x:v>7</x:v>
      </x:c>
      <x:c r="K7" s="94" t="n">
        <x:f>COUNTIF('主方案需求'!D5:D31,0)</x:f>
        <x:v>17</x:v>
      </x:c>
      <x:c r="L7" s="91" t="str">
        <x:v>总量优先推荐</x:v>
      </x:c>
    </x:row>
  </x:sheetData>
  <x:mergeCells>
    <x:mergeCell ref="A1:L1"/>
    <x:mergeCell ref="A2:L2"/>
  </x:mergeCells>
  <x:conditionalFormatting sqref="E5:E7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42" hidden="0" customWidth="1"/>
    <x:col min="5" max="5" width="28" hidden="0" customWidth="1"/>
    <x:col min="6" max="6" width="16" hidden="0" customWidth="1"/>
  </x:cols>
  <x:sheetData>
    <x:row r="1" ht="30" customHeight="1">
      <x:c r="A1" s="4" t="str">
        <x:v>字典序MILP模型说明</x:v>
      </x:c>
      <x:c r="B1" s="4" t="str">
        <x:v>字典序MILP模型说明</x:v>
      </x:c>
      <x:c r="C1" s="4" t="str">
        <x:v>字典序MILP模型说明</x:v>
      </x:c>
      <x:c r="D1" s="4" t="str">
        <x:v>字典序MILP模型说明</x:v>
      </x:c>
      <x:c r="E1" s="4" t="str">
        <x:v>字典序MILP模型说明</x:v>
      </x:c>
      <x:c r="F1" s="4" t="str">
        <x:v>字典序MILP模型说明</x:v>
      </x:c>
    </x:row>
    <x:row r="2" ht="22" customHeight="1">
      <x:c r="A2" s="8" t="str">
        <x:v>固定物理可行域，在不牺牲前序目标的条件下逐级优化</x:v>
      </x:c>
      <x:c r="B2" s="8" t="str">
        <x:v>固定物理可行域，在不牺牲前序目标的条件下逐级优化</x:v>
      </x:c>
      <x:c r="C2" s="8" t="str">
        <x:v>固定物理可行域，在不牺牲前序目标的条件下逐级优化</x:v>
      </x:c>
      <x:c r="D2" s="8" t="str">
        <x:v>固定物理可行域，在不牺牲前序目标的条件下逐级优化</x:v>
      </x:c>
      <x:c r="E2" s="8" t="str">
        <x:v>固定物理可行域，在不牺牲前序目标的条件下逐级优化</x:v>
      </x:c>
      <x:c r="F2" s="8" t="str">
        <x:v>固定物理可行域，在不牺牲前序目标的条件下逐级优化</x:v>
      </x:c>
    </x:row>
    <x:row r="4" ht="26" customHeight="1">
      <x:c r="A4" s="14" t="str">
        <x:v>变量</x:v>
      </x:c>
      <x:c r="B4" s="14" t="str">
        <x:v>类型</x:v>
      </x:c>
      <x:c r="C4" s="14" t="str">
        <x:v>单位</x:v>
      </x:c>
      <x:c r="D4" s="14" t="str">
        <x:v>定义</x:v>
      </x:c>
      <x:c r="E4" s="14" t="str">
        <x:v>主要关联</x:v>
      </x:c>
    </x:row>
    <x:row r="5" ht="20" customHeight="1">
      <x:c r="A5" s="17" t="str">
        <x:v>x[l,t,j]</x:v>
      </x:c>
      <x:c r="B5" s="17" t="str">
        <x:v>连续</x:v>
      </x:c>
      <x:c r="C5" s="17" t="str">
        <x:v>产量单位/班</x:v>
      </x:c>
      <x:c r="D5" s="17" t="str">
        <x:v>产线l在班次t生产组合j的数量</x:v>
      </x:c>
      <x:c r="E5" s="17" t="str">
        <x:v>产能、需求</x:v>
      </x:c>
    </x:row>
    <x:row r="6" ht="20" customHeight="1">
      <x:c r="A6" s="17" t="str">
        <x:v>y[l,t,j]</x:v>
      </x:c>
      <x:c r="B6" s="17" t="str">
        <x:v>0-1</x:v>
      </x:c>
      <x:c r="C6" s="17" t="str">
        <x:v>—</x:v>
      </x:c>
      <x:c r="D6" s="17" t="str">
        <x:v>班次t是否选择组合j</x:v>
      </x:c>
      <x:c r="E6" s="17" t="str">
        <x:v>单班单品</x:v>
      </x:c>
    </x:row>
    <x:row r="7" ht="20" customHeight="1">
      <x:c r="A7" s="17" t="str">
        <x:v>s[j]</x:v>
      </x:c>
      <x:c r="B7" s="17" t="str">
        <x:v>连续</x:v>
      </x:c>
      <x:c r="C7" s="17" t="str">
        <x:v>产量单位</x:v>
      </x:c>
      <x:c r="D7" s="17" t="str">
        <x:v>组合j的剩余计划量</x:v>
      </x:c>
      <x:c r="E7" s="17" t="str">
        <x:v>目标阶段1</x:v>
      </x:c>
    </x:row>
    <x:row r="8" ht="20" customHeight="1">
      <x:c r="A8" s="17" t="str">
        <x:v>uP[l,t]</x:v>
      </x:c>
      <x:c r="B8" s="17" t="str">
        <x:v>0-1</x:v>
      </x:c>
      <x:c r="C8" s="17" t="str">
        <x:v>次</x:v>
      </x:c>
      <x:c r="D8" s="17" t="str">
        <x:v>相邻班次是否发生产品换产</x:v>
      </x:c>
      <x:c r="E8" s="17" t="str">
        <x:v>目标阶段2</x:v>
      </x:c>
    </x:row>
    <x:row r="9" ht="20" customHeight="1">
      <x:c r="A9" s="17" t="str">
        <x:v>uQ[l,t]</x:v>
      </x:c>
      <x:c r="B9" s="17" t="str">
        <x:v>0-1</x:v>
      </x:c>
      <x:c r="C9" s="17" t="str">
        <x:v>次</x:v>
      </x:c>
      <x:c r="D9" s="17" t="str">
        <x:v>相邻班次是否发生酒质切换</x:v>
      </x:c>
      <x:c r="E9" s="17" t="str">
        <x:v>目标阶段3</x:v>
      </x:c>
    </x:row>
    <x:row r="10" ht="20" customHeight="1">
      <x:c r="A10" s="17" t="str">
        <x:v>a[l,t]</x:v>
      </x:c>
      <x:c r="B10" s="17" t="str">
        <x:v>0-1</x:v>
      </x:c>
      <x:c r="C10" s="17" t="str">
        <x:v>班次</x:v>
      </x:c>
      <x:c r="D10" s="17" t="str">
        <x:v>产线班次是否开工</x:v>
      </x:c>
      <x:c r="E10" s="17" t="str">
        <x:v>目标阶段5</x:v>
      </x:c>
    </x:row>
    <x:row r="13" ht="26" customHeight="1">
      <x:c r="A13" s="14" t="str">
        <x:v>阶段</x:v>
      </x:c>
      <x:c r="B13" s="14" t="str">
        <x:v>目标</x:v>
      </x:c>
      <x:c r="C13" s="14" t="str">
        <x:v>锁定规则</x:v>
      </x:c>
      <x:c r="D13" s="14" t="str">
        <x:v>业务含义</x:v>
      </x:c>
      <x:c r="E13" s="14" t="str">
        <x:v>脚本输出</x:v>
      </x:c>
    </x:row>
    <x:row r="14" ht="20" customHeight="1">
      <x:c r="A14" s="17" t="n">
        <x:v>1</x:v>
      </x:c>
      <x:c r="B14" s="17" t="str">
        <x:v>min Σ s[j]</x:v>
      </x:c>
      <x:c r="C14" s="17" t="str">
        <x:v>—</x:v>
      </x:c>
      <x:c r="D14" s="17" t="str">
        <x:v>优先压低总剩余量</x:v>
      </x:c>
      <x:c r="E14" s="17" t="str">
        <x:v>stage1_objective_optimum</x:v>
      </x:c>
    </x:row>
    <x:row r="15" ht="20" customHeight="1">
      <x:c r="A15" s="17" t="n">
        <x:v>2</x:v>
      </x:c>
      <x:c r="B15" s="17" t="str">
        <x:v>min Σ uP[l,t]</x:v>
      </x:c>
      <x:c r="C15" s="17" t="str">
        <x:v>冻结阶段1最优值</x:v>
      </x:c>
      <x:c r="D15" s="17" t="str">
        <x:v>减少产品换产</x:v>
      </x:c>
      <x:c r="E15" s="17" t="str">
        <x:v>product_switch_optimum</x:v>
      </x:c>
    </x:row>
    <x:row r="16" ht="20" customHeight="1">
      <x:c r="A16" s="17" t="n">
        <x:v>3</x:v>
      </x:c>
      <x:c r="B16" s="17" t="str">
        <x:v>min Σ uQ[l,t]</x:v>
      </x:c>
      <x:c r="C16" s="17" t="str">
        <x:v>冻结阶段1—2最优值</x:v>
      </x:c>
      <x:c r="D16" s="17" t="str">
        <x:v>减少酒质切换</x:v>
      </x:c>
      <x:c r="E16" s="17" t="str">
        <x:v>quality_switch_optimum</x:v>
      </x:c>
    </x:row>
    <x:row r="17" ht="20" customHeight="1">
      <x:c r="A17" s="17" t="n">
        <x:v>4</x:v>
      </x:c>
      <x:c r="B17" s="17" t="str">
        <x:v>max Σ pref[l,j]·x[l,t,j]</x:v>
      </x:c>
      <x:c r="C17" s="17" t="str">
        <x:v>冻结阶段1—3最优值</x:v>
      </x:c>
      <x:c r="D17" s="17" t="str">
        <x:v>倾向历史优势产线</x:v>
      </x:c>
      <x:c r="E17" s="17" t="str">
        <x:v>preference_quantity_score</x:v>
      </x:c>
    </x:row>
    <x:row r="18" ht="20" customHeight="1">
      <x:c r="A18" s="17" t="n">
        <x:v>5</x:v>
      </x:c>
      <x:c r="B18" s="17" t="str">
        <x:v>min Σ a[l,t]</x:v>
      </x:c>
      <x:c r="C18" s="17" t="str">
        <x:v>冻结阶段1—4最优值</x:v>
      </x:c>
      <x:c r="D18" s="17" t="str">
        <x:v>在前序目标最优下减少碎片班次</x:v>
      </x:c>
      <x:c r="E18" s="17" t="str">
        <x:v>active_assignments</x:v>
      </x:c>
    </x:row>
    <x:row r="21" ht="26" customHeight="1">
      <x:c r="A21" s="14" t="str">
        <x:v>约束</x:v>
      </x:c>
      <x:c r="B21" s="14" t="str">
        <x:v>核心方程/关系</x:v>
      </x:c>
      <x:c r="C21" s="14" t="str">
        <x:v>约束性质</x:v>
      </x:c>
      <x:c r="D21" s="14" t="str">
        <x:v>参数来源</x:v>
      </x:c>
      <x:c r="E21" s="14" t="str">
        <x:v>说明</x:v>
      </x:c>
    </x:row>
    <x:row r="22" ht="20" customHeight="1">
      <x:c r="A22" s="17" t="str">
        <x:v>单班单品</x:v>
      </x:c>
      <x:c r="B22" s="17" t="str">
        <x:v>Σj y[l,t,j] ≤ 1</x:v>
      </x:c>
      <x:c r="C22" s="17" t="str">
        <x:v>硬约束</x:v>
      </x:c>
      <x:c r="D22" s="17" t="str">
        <x:v>题面</x:v>
      </x:c>
      <x:c r="E22" s="17" t="str">
        <x:v>每线每班最多生产一种组合</x:v>
      </x:c>
    </x:row>
    <x:row r="23" ht="20" customHeight="1">
      <x:c r="A23" s="17" t="str">
        <x:v>产量联动</x:v>
      </x:c>
      <x:c r="B23" s="17" t="str">
        <x:v>0 ≤ x[l,t,j] ≤ Cap[l,j]·y[l,t,j]</x:v>
      </x:c>
      <x:c r="C23" s="17" t="str">
        <x:v>硬约束</x:v>
      </x:c>
      <x:c r="D23" s="17" t="str">
        <x:v>Q95收缩产能</x:v>
      </x:c>
      <x:c r="E23" s="17" t="str">
        <x:v>未选中时产量为0</x:v>
      </x:c>
    </x:row>
    <x:row r="24" ht="20" customHeight="1">
      <x:c r="A24" s="17" t="str">
        <x:v>需求平衡</x:v>
      </x:c>
      <x:c r="B24" s="17" t="str">
        <x:v>Σl,t x[l,t,j] + s[j] = D[j]</x:v>
      </x:c>
      <x:c r="C24" s="17" t="str">
        <x:v>硬约束</x:v>
      </x:c>
      <x:c r="D24" s="17" t="str">
        <x:v>附件2</x:v>
      </x:c>
      <x:c r="E24" s="17" t="str">
        <x:v>不允许超需求</x:v>
      </x:c>
    </x:row>
    <x:row r="25" ht="20" customHeight="1">
      <x:c r="A25" s="17" t="str">
        <x:v>兼容关系</x:v>
      </x:c>
      <x:c r="B25" s="17" t="str">
        <x:v>y[l,t,j] = 0, 若(l,j)无历史生产证据</x:v>
      </x:c>
      <x:c r="C25" s="17" t="str">
        <x:v>硬约束</x:v>
      </x:c>
      <x:c r="D25" s="17" t="str">
        <x:v>附件1</x:v>
      </x:c>
      <x:c r="E25" s="17" t="str">
        <x:v>共58个兼容产品—产线关系</x:v>
      </x:c>
    </x:row>
    <x:row r="26" ht="20" customHeight="1">
      <x:c r="A26" s="17" t="str">
        <x:v>换产判定</x:v>
      </x:c>
      <x:c r="B26" s="17" t="str">
        <x:v>相邻班次产品/酒质不同则对应切换变量为1</x:v>
      </x:c>
      <x:c r="C26" s="17" t="str">
        <x:v>逻辑线性化</x:v>
      </x:c>
      <x:c r="D26" s="17" t="str">
        <x:v>排产序列</x:v>
      </x:c>
      <x:c r="E26" s="17" t="str">
        <x:v>首班次不计换产</x:v>
      </x:c>
    </x:row>
    <x:row r="27" ht="20" customHeight="1">
      <x:c r="A27" s="17" t="str">
        <x:v>非负与整数</x:v>
      </x:c>
      <x:c r="B27" s="17" t="str">
        <x:v>x,s≥0；y,uP,uQ,a∈{0,1}</x:v>
      </x:c>
      <x:c r="C27" s="17" t="str">
        <x:v>变量域</x:v>
      </x:c>
      <x:c r="D27" s="17" t="str">
        <x:v>模型定义</x:v>
      </x:c>
      <x:c r="E27" s="17" t="str">
        <x:v>保证MILP可解</x:v>
      </x:c>
    </x:row>
    <x:row r="30">
      <x:c r="A30" s="102" t="str">
        <x:v>产能估计：对清洗后的单产品单线班次产量取Q95，并以强度5向父组Q95收缩；小样本不直接使用极端历史最大值。</x:v>
      </x:c>
      <x:c r="B30" s="103" t="str">
        <x:v>产能估计：对清洗后的单产品单线班次产量取Q95，并以强度5向父组Q95收缩；小样本不直接使用极端历史最大值。</x:v>
      </x:c>
      <x:c r="C30" s="103" t="str">
        <x:v>产能估计：对清洗后的单产品单线班次产量取Q95，并以强度5向父组Q95收缩；小样本不直接使用极端历史最大值。</x:v>
      </x:c>
      <x:c r="D30" s="103" t="str">
        <x:v>产能估计：对清洗后的单产品单线班次产量取Q95，并以强度5向父组Q95收缩；小样本不直接使用极端历史最大值。</x:v>
      </x:c>
      <x:c r="E30" s="103" t="str">
        <x:v>产能估计：对清洗后的单产品单线班次产量取Q95，并以强度5向父组Q95收缩；小样本不直接使用极端历史最大值。</x:v>
      </x:c>
      <x:c r="F30" s="104" t="str">
        <x:v>产能估计：对清洗后的单产品单线班次产量取Q95，并以强度5向父组Q95收缩；小样本不直接使用极端历史最大值。</x:v>
      </x:c>
    </x:row>
  </x:sheetData>
  <x:mergeCells>
    <x:mergeCell ref="A1:F1"/>
    <x:mergeCell ref="A2:F2"/>
    <x:mergeCell ref="A30:F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8" hidden="0" customWidth="1"/>
    <x:col min="4" max="4" width="11" hidden="0" customWidth="1"/>
    <x:col min="5" max="5" width="8" hidden="0" customWidth="1"/>
    <x:col min="6" max="6" width="14" hidden="0" customWidth="1"/>
    <x:col min="7" max="7" width="14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7" hidden="0" customWidth="1"/>
  </x:cols>
  <x:sheetData>
    <x:row r="1" ht="30" customHeight="1">
      <x:c r="A1" s="4" t="str">
        <x:v>主方案｜总剩余量优先字典序MILP排产明细</x:v>
      </x:c>
      <x:c r="B1" s="4" t="str">
        <x:v>主方案｜总剩余量优先字典序MILP排产明细</x:v>
      </x:c>
      <x:c r="C1" s="4" t="str">
        <x:v>主方案｜总剩余量优先字典序MILP排产明细</x:v>
      </x:c>
      <x:c r="D1" s="4" t="str">
        <x:v>主方案｜总剩余量优先字典序MILP排产明细</x:v>
      </x:c>
      <x:c r="E1" s="4" t="str">
        <x:v>主方案｜总剩余量优先字典序MILP排产明细</x:v>
      </x:c>
      <x:c r="F1" s="4" t="str">
        <x:v>主方案｜总剩余量优先字典序MILP排产明细</x:v>
      </x:c>
      <x:c r="G1" s="4" t="str">
        <x:v>主方案｜总剩余量优先字典序MILP排产明细</x:v>
      </x:c>
      <x:c r="H1" s="4" t="str">
        <x:v>主方案｜总剩余量优先字典序MILP排产明细</x:v>
      </x:c>
      <x:c r="I1" s="4" t="str">
        <x:v>主方案｜总剩余量优先字典序MILP排产明细</x:v>
      </x:c>
      <x:c r="J1" s="4" t="str">
        <x:v>主方案｜总剩余量优先字典序MILP排产明细</x:v>
      </x:c>
      <x:c r="K1" s="4" t="str">
        <x:v>主方案｜总剩余量优先字典序MILP排产明细</x:v>
      </x:c>
      <x:c r="L1" s="4" t="str">
        <x:v>主方案｜总剩余量优先字典序MILP排产明细</x:v>
      </x:c>
    </x:row>
    <x:row r="2" ht="22" customHeight="1">
      <x:c r="A2" s="8" t="str">
        <x:v>2025年第13周（3月3日至3月7日），14条产线×10个班次</x:v>
      </x:c>
      <x:c r="B2" s="8" t="str">
        <x:v>2025年第13周（3月3日至3月7日），14条产线×10个班次</x:v>
      </x:c>
      <x:c r="C2" s="8" t="str">
        <x:v>2025年第13周（3月3日至3月7日），14条产线×10个班次</x:v>
      </x:c>
      <x:c r="D2" s="8" t="str">
        <x:v>2025年第13周（3月3日至3月7日），14条产线×10个班次</x:v>
      </x:c>
      <x:c r="E2" s="8" t="str">
        <x:v>2025年第13周（3月3日至3月7日），14条产线×10个班次</x:v>
      </x:c>
      <x:c r="F2" s="8" t="str">
        <x:v>2025年第13周（3月3日至3月7日），14条产线×10个班次</x:v>
      </x:c>
      <x:c r="G2" s="8" t="str">
        <x:v>2025年第13周（3月3日至3月7日），14条产线×10个班次</x:v>
      </x:c>
      <x:c r="H2" s="8" t="str">
        <x:v>2025年第13周（3月3日至3月7日），14条产线×10个班次</x:v>
      </x:c>
      <x:c r="I2" s="8" t="str">
        <x:v>2025年第13周（3月3日至3月7日），14条产线×10个班次</x:v>
      </x:c>
      <x:c r="J2" s="8" t="str">
        <x:v>2025年第13周（3月3日至3月7日），14条产线×10个班次</x:v>
      </x:c>
      <x:c r="K2" s="8" t="str">
        <x:v>2025年第13周（3月3日至3月7日），14条产线×10个班次</x:v>
      </x:c>
      <x:c r="L2" s="8" t="str">
        <x:v>2025年第13周（3月3日至3月7日），14条产线×10个班次</x:v>
      </x:c>
    </x:row>
    <x:row r="4" ht="26" customHeight="1">
      <x:c r="A4" s="14" t="str">
        <x:v>﻿生产日期</x:v>
      </x:c>
      <x:c r="B4" s="14" t="str">
        <x:v>班次</x:v>
      </x:c>
      <x:c r="C4" s="14" t="str">
        <x:v>产线</x:v>
      </x:c>
      <x:c r="D4" s="14" t="str">
        <x:v>产品</x:v>
      </x:c>
      <x:c r="E4" s="14" t="str">
        <x:v>酒质</x:v>
      </x:c>
      <x:c r="F4" s="14" t="str">
        <x:v>计划生产量</x:v>
      </x:c>
      <x:c r="G4" s="14" t="str">
        <x:v>班次产能估计</x:v>
      </x:c>
      <x:c r="H4" s="14" t="str">
        <x:v>产能利用率</x:v>
      </x:c>
      <x:c r="I4" s="14" t="str">
        <x:v>产线偏好得分</x:v>
      </x:c>
      <x:c r="J4" s="14" t="str">
        <x:v>产品换产标记</x:v>
      </x:c>
      <x:c r="K4" s="14" t="str">
        <x:v>酒质切换标记</x:v>
      </x:c>
      <x:c r="L4" s="14" t="str">
        <x:v>模型</x:v>
      </x:c>
    </x:row>
    <x:row r="5" ht="20" customHeight="1">
      <x:c r="A5" s="22" t="str">
        <x:v>2025-03-03</x:v>
      </x:c>
      <x:c r="B5" s="22" t="str">
        <x:v>早班</x:v>
      </x:c>
      <x:c r="C5" s="22" t="str">
        <x:v>L01</x:v>
      </x:c>
      <x:c r="D5" s="22" t="str">
        <x:v>P0014</x:v>
      </x:c>
      <x:c r="E5" s="22" t="str">
        <x:v>Q03</x:v>
      </x:c>
      <x:c r="F5" s="27" t="n">
        <x:v>23000</x:v>
      </x:c>
      <x:c r="G5" s="27" t="n">
        <x:v>23000</x:v>
      </x:c>
      <x:c r="H5" s="28" t="n">
        <x:v>1</x:v>
      </x:c>
      <x:c r="I5" s="29" t="n">
        <x:v>0.353641</x:v>
      </x:c>
      <x:c r="J5" s="26" t="n">
        <x:v>0</x:v>
      </x:c>
      <x:c r="K5" s="26" t="n">
        <x:v>0</x:v>
      </x:c>
      <x:c r="L5" s="22" t="str">
        <x:v>字典序MILP-Q95</x:v>
      </x:c>
    </x:row>
    <x:row r="6" ht="20" customHeight="1">
      <x:c r="A6" s="22" t="str">
        <x:v>2025-03-03</x:v>
      </x:c>
      <x:c r="B6" s="22" t="str">
        <x:v>早班</x:v>
      </x:c>
      <x:c r="C6" s="22" t="str">
        <x:v>L02</x:v>
      </x:c>
      <x:c r="D6" s="22" t="str">
        <x:v>P0159</x:v>
      </x:c>
      <x:c r="E6" s="22" t="str">
        <x:v>Q03</x:v>
      </x:c>
      <x:c r="F6" s="27" t="n">
        <x:v>31998</x:v>
      </x:c>
      <x:c r="G6" s="27" t="n">
        <x:v>31998</x:v>
      </x:c>
      <x:c r="H6" s="28" t="n">
        <x:v>1</x:v>
      </x:c>
      <x:c r="I6" s="29" t="n">
        <x:v>0.4</x:v>
      </x:c>
      <x:c r="J6" s="26" t="n">
        <x:v>0</x:v>
      </x:c>
      <x:c r="K6" s="26" t="n">
        <x:v>0</x:v>
      </x:c>
      <x:c r="L6" s="22" t="str">
        <x:v>字典序MILP-Q95</x:v>
      </x:c>
    </x:row>
    <x:row r="7" ht="20" customHeight="1">
      <x:c r="A7" s="22" t="str">
        <x:v>2025-03-03</x:v>
      </x:c>
      <x:c r="B7" s="22" t="str">
        <x:v>早班</x:v>
      </x:c>
      <x:c r="C7" s="22" t="str">
        <x:v>L03</x:v>
      </x:c>
      <x:c r="D7" s="22" t="str">
        <x:v>P0070</x:v>
      </x:c>
      <x:c r="E7" s="22" t="str">
        <x:v>Q03</x:v>
      </x:c>
      <x:c r="F7" s="27" t="n">
        <x:v>42000</x:v>
      </x:c>
      <x:c r="G7" s="27" t="n">
        <x:v>42000</x:v>
      </x:c>
      <x:c r="H7" s="28" t="n">
        <x:v>1</x:v>
      </x:c>
      <x:c r="I7" s="29" t="n">
        <x:v>0.6</x:v>
      </x:c>
      <x:c r="J7" s="26" t="n">
        <x:v>0</x:v>
      </x:c>
      <x:c r="K7" s="26" t="n">
        <x:v>0</x:v>
      </x:c>
      <x:c r="L7" s="22" t="str">
        <x:v>字典序MILP-Q95</x:v>
      </x:c>
    </x:row>
    <x:row r="8" ht="20" customHeight="1">
      <x:c r="A8" s="22" t="str">
        <x:v>2025-03-03</x:v>
      </x:c>
      <x:c r="B8" s="22" t="str">
        <x:v>早班</x:v>
      </x:c>
      <x:c r="C8" s="22" t="str">
        <x:v>L04</x:v>
      </x:c>
      <x:c r="D8" s="22" t="str">
        <x:v>P0163</x:v>
      </x:c>
      <x:c r="E8" s="22" t="str">
        <x:v>Q06</x:v>
      </x:c>
      <x:c r="F8" s="27" t="n">
        <x:v>21500</x:v>
      </x:c>
      <x:c r="G8" s="27" t="n">
        <x:v>21500</x:v>
      </x:c>
      <x:c r="H8" s="28" t="n">
        <x:v>1</x:v>
      </x:c>
      <x:c r="I8" s="29" t="n">
        <x:v>1</x:v>
      </x:c>
      <x:c r="J8" s="26" t="n">
        <x:v>0</x:v>
      </x:c>
      <x:c r="K8" s="26" t="n">
        <x:v>0</x:v>
      </x:c>
      <x:c r="L8" s="22" t="str">
        <x:v>字典序MILP-Q95</x:v>
      </x:c>
    </x:row>
    <x:row r="9" ht="20" customHeight="1">
      <x:c r="A9" s="22" t="str">
        <x:v>2025-03-03</x:v>
      </x:c>
      <x:c r="B9" s="22" t="str">
        <x:v>早班</x:v>
      </x:c>
      <x:c r="C9" s="22" t="str">
        <x:v>L05</x:v>
      </x:c>
      <x:c r="D9" s="22" t="str"/>
      <x:c r="E9" s="22" t="str"/>
      <x:c r="F9" s="27" t="n">
        <x:v>0</x:v>
      </x:c>
      <x:c r="G9" s="27" t="n">
        <x:v>0</x:v>
      </x:c>
      <x:c r="H9" s="28" t="n">
        <x:v>0</x:v>
      </x:c>
      <x:c r="I9" s="29" t="n">
        <x:v>0</x:v>
      </x:c>
      <x:c r="J9" s="26" t="n">
        <x:v>0</x:v>
      </x:c>
      <x:c r="K9" s="26" t="n">
        <x:v>0</x:v>
      </x:c>
      <x:c r="L9" s="22" t="str">
        <x:v>字典序MILP-Q95</x:v>
      </x:c>
    </x:row>
    <x:row r="10" ht="20" customHeight="1">
      <x:c r="A10" s="22" t="str">
        <x:v>2025-03-03</x:v>
      </x:c>
      <x:c r="B10" s="22" t="str">
        <x:v>早班</x:v>
      </x:c>
      <x:c r="C10" s="22" t="str">
        <x:v>L06</x:v>
      </x:c>
      <x:c r="D10" s="22" t="str">
        <x:v>P0013</x:v>
      </x:c>
      <x:c r="E10" s="22" t="str">
        <x:v>Q03</x:v>
      </x:c>
      <x:c r="F10" s="27" t="n">
        <x:v>34000</x:v>
      </x:c>
      <x:c r="G10" s="27" t="n">
        <x:v>34000</x:v>
      </x:c>
      <x:c r="H10" s="28" t="n">
        <x:v>1</x:v>
      </x:c>
      <x:c r="I10" s="29" t="n">
        <x:v>0.884614</x:v>
      </x:c>
      <x:c r="J10" s="26" t="n">
        <x:v>0</x:v>
      </x:c>
      <x:c r="K10" s="26" t="n">
        <x:v>0</x:v>
      </x:c>
      <x:c r="L10" s="22" t="str">
        <x:v>字典序MILP-Q95</x:v>
      </x:c>
    </x:row>
    <x:row r="11" ht="20" customHeight="1">
      <x:c r="A11" s="22" t="str">
        <x:v>2025-03-03</x:v>
      </x:c>
      <x:c r="B11" s="22" t="str">
        <x:v>早班</x:v>
      </x:c>
      <x:c r="C11" s="22" t="str">
        <x:v>L07</x:v>
      </x:c>
      <x:c r="D11" s="22" t="str">
        <x:v>P0163</x:v>
      </x:c>
      <x:c r="E11" s="22" t="str">
        <x:v>Q06</x:v>
      </x:c>
      <x:c r="F11" s="27" t="n">
        <x:v>21500</x:v>
      </x:c>
      <x:c r="G11" s="27" t="n">
        <x:v>21500</x:v>
      </x:c>
      <x:c r="H11" s="28" t="n">
        <x:v>1</x:v>
      </x:c>
      <x:c r="I11" s="29" t="n">
        <x:v>0.6</x:v>
      </x:c>
      <x:c r="J11" s="26" t="n">
        <x:v>0</x:v>
      </x:c>
      <x:c r="K11" s="26" t="n">
        <x:v>0</x:v>
      </x:c>
      <x:c r="L11" s="22" t="str">
        <x:v>字典序MILP-Q95</x:v>
      </x:c>
    </x:row>
    <x:row r="12" ht="20" customHeight="1">
      <x:c r="A12" s="22" t="str">
        <x:v>2025-03-03</x:v>
      </x:c>
      <x:c r="B12" s="22" t="str">
        <x:v>早班</x:v>
      </x:c>
      <x:c r="C12" s="22" t="str">
        <x:v>L08</x:v>
      </x:c>
      <x:c r="D12" s="22" t="str">
        <x:v>P0004</x:v>
      </x:c>
      <x:c r="E12" s="22" t="str">
        <x:v>Q02</x:v>
      </x:c>
      <x:c r="F12" s="27" t="n">
        <x:v>35000</x:v>
      </x:c>
      <x:c r="G12" s="27" t="n">
        <x:v>35000</x:v>
      </x:c>
      <x:c r="H12" s="28" t="n">
        <x:v>1</x:v>
      </x:c>
      <x:c r="I12" s="29" t="n">
        <x:v>1</x:v>
      </x:c>
      <x:c r="J12" s="26" t="n">
        <x:v>0</x:v>
      </x:c>
      <x:c r="K12" s="26" t="n">
        <x:v>0</x:v>
      </x:c>
      <x:c r="L12" s="22" t="str">
        <x:v>字典序MILP-Q95</x:v>
      </x:c>
    </x:row>
    <x:row r="13" ht="20" customHeight="1">
      <x:c r="A13" s="22" t="str">
        <x:v>2025-03-03</x:v>
      </x:c>
      <x:c r="B13" s="22" t="str">
        <x:v>早班</x:v>
      </x:c>
      <x:c r="C13" s="22" t="str">
        <x:v>L09</x:v>
      </x:c>
      <x:c r="D13" s="22" t="str">
        <x:v>P0064</x:v>
      </x:c>
      <x:c r="E13" s="22" t="str">
        <x:v>Q12</x:v>
      </x:c>
      <x:c r="F13" s="27" t="n">
        <x:v>16057</x:v>
      </x:c>
      <x:c r="G13" s="27" t="n">
        <x:v>18849</x:v>
      </x:c>
      <x:c r="H13" s="28" t="n">
        <x:v>0.851875</x:v>
      </x:c>
      <x:c r="I13" s="29" t="n">
        <x:v>0.8</x:v>
      </x:c>
      <x:c r="J13" s="26" t="n">
        <x:v>0</x:v>
      </x:c>
      <x:c r="K13" s="26" t="n">
        <x:v>0</x:v>
      </x:c>
      <x:c r="L13" s="22" t="str">
        <x:v>字典序MILP-Q95</x:v>
      </x:c>
    </x:row>
    <x:row r="14" ht="20" customHeight="1">
      <x:c r="A14" s="22" t="str">
        <x:v>2025-03-03</x:v>
      </x:c>
      <x:c r="B14" s="22" t="str">
        <x:v>早班</x:v>
      </x:c>
      <x:c r="C14" s="22" t="str">
        <x:v>L10</x:v>
      </x:c>
      <x:c r="D14" s="22" t="str">
        <x:v>P0014</x:v>
      </x:c>
      <x:c r="E14" s="22" t="str">
        <x:v>Q03</x:v>
      </x:c>
      <x:c r="F14" s="27" t="n">
        <x:v>110000</x:v>
      </x:c>
      <x:c r="G14" s="27" t="n">
        <x:v>110000</x:v>
      </x:c>
      <x:c r="H14" s="28" t="n">
        <x:v>1</x:v>
      </x:c>
      <x:c r="I14" s="29" t="n">
        <x:v>0.877029</x:v>
      </x:c>
      <x:c r="J14" s="26" t="n">
        <x:v>0</x:v>
      </x:c>
      <x:c r="K14" s="26" t="n">
        <x:v>0</x:v>
      </x:c>
      <x:c r="L14" s="22" t="str">
        <x:v>字典序MILP-Q95</x:v>
      </x:c>
    </x:row>
    <x:row r="15" ht="20" customHeight="1">
      <x:c r="A15" s="22" t="str">
        <x:v>2025-03-03</x:v>
      </x:c>
      <x:c r="B15" s="22" t="str">
        <x:v>早班</x:v>
      </x:c>
      <x:c r="C15" s="22" t="str">
        <x:v>L11</x:v>
      </x:c>
      <x:c r="D15" s="22" t="str">
        <x:v>P0043</x:v>
      </x:c>
      <x:c r="E15" s="22" t="str">
        <x:v>Q04</x:v>
      </x:c>
      <x:c r="F15" s="27" t="n">
        <x:v>35000</x:v>
      </x:c>
      <x:c r="G15" s="27" t="n">
        <x:v>35000</x:v>
      </x:c>
      <x:c r="H15" s="28" t="n">
        <x:v>1</x:v>
      </x:c>
      <x:c r="I15" s="29" t="n">
        <x:v>1</x:v>
      </x:c>
      <x:c r="J15" s="26" t="n">
        <x:v>0</x:v>
      </x:c>
      <x:c r="K15" s="26" t="n">
        <x:v>0</x:v>
      </x:c>
      <x:c r="L15" s="22" t="str">
        <x:v>字典序MILP-Q95</x:v>
      </x:c>
    </x:row>
    <x:row r="16" ht="20" customHeight="1">
      <x:c r="A16" s="22" t="str">
        <x:v>2025-03-03</x:v>
      </x:c>
      <x:c r="B16" s="22" t="str">
        <x:v>早班</x:v>
      </x:c>
      <x:c r="C16" s="22" t="str">
        <x:v>L12</x:v>
      </x:c>
      <x:c r="D16" s="22" t="str">
        <x:v>P0013</x:v>
      </x:c>
      <x:c r="E16" s="22" t="str">
        <x:v>Q03</x:v>
      </x:c>
      <x:c r="F16" s="27" t="n">
        <x:v>35000</x:v>
      </x:c>
      <x:c r="G16" s="27" t="n">
        <x:v>35000</x:v>
      </x:c>
      <x:c r="H16" s="28" t="n">
        <x:v>1</x:v>
      </x:c>
      <x:c r="I16" s="29" t="n">
        <x:v>0.695541</x:v>
      </x:c>
      <x:c r="J16" s="26" t="n">
        <x:v>0</x:v>
      </x:c>
      <x:c r="K16" s="26" t="n">
        <x:v>0</x:v>
      </x:c>
      <x:c r="L16" s="22" t="str">
        <x:v>字典序MILP-Q95</x:v>
      </x:c>
    </x:row>
    <x:row r="17" ht="20" customHeight="1">
      <x:c r="A17" s="22" t="str">
        <x:v>2025-03-03</x:v>
      </x:c>
      <x:c r="B17" s="22" t="str">
        <x:v>早班</x:v>
      </x:c>
      <x:c r="C17" s="22" t="str">
        <x:v>L13</x:v>
      </x:c>
      <x:c r="D17" s="22" t="str">
        <x:v>P0059</x:v>
      </x:c>
      <x:c r="E17" s="22" t="str">
        <x:v>Q08</x:v>
      </x:c>
      <x:c r="F17" s="27" t="n">
        <x:v>13500</x:v>
      </x:c>
      <x:c r="G17" s="27" t="n">
        <x:v>13500</x:v>
      </x:c>
      <x:c r="H17" s="28" t="n">
        <x:v>1</x:v>
      </x:c>
      <x:c r="I17" s="29" t="n">
        <x:v>0.8</x:v>
      </x:c>
      <x:c r="J17" s="26" t="n">
        <x:v>0</x:v>
      </x:c>
      <x:c r="K17" s="26" t="n">
        <x:v>0</x:v>
      </x:c>
      <x:c r="L17" s="22" t="str">
        <x:v>字典序MILP-Q95</x:v>
      </x:c>
    </x:row>
    <x:row r="18" ht="20" customHeight="1">
      <x:c r="A18" s="22" t="str">
        <x:v>2025-03-03</x:v>
      </x:c>
      <x:c r="B18" s="22" t="str">
        <x:v>早班</x:v>
      </x:c>
      <x:c r="C18" s="22" t="str">
        <x:v>L14</x:v>
      </x:c>
      <x:c r="D18" s="22" t="str">
        <x:v>P0013</x:v>
      </x:c>
      <x:c r="E18" s="22" t="str">
        <x:v>Q03</x:v>
      </x:c>
      <x:c r="F18" s="27" t="n">
        <x:v>28000</x:v>
      </x:c>
      <x:c r="G18" s="27" t="n">
        <x:v>28000</x:v>
      </x:c>
      <x:c r="H18" s="28" t="n">
        <x:v>1</x:v>
      </x:c>
      <x:c r="I18" s="29" t="n">
        <x:v>0.741574</x:v>
      </x:c>
      <x:c r="J18" s="26" t="n">
        <x:v>0</x:v>
      </x:c>
      <x:c r="K18" s="26" t="n">
        <x:v>0</x:v>
      </x:c>
      <x:c r="L18" s="22" t="str">
        <x:v>字典序MILP-Q95</x:v>
      </x:c>
    </x:row>
    <x:row r="19" ht="20" customHeight="1">
      <x:c r="A19" s="22" t="str">
        <x:v>2025-03-03</x:v>
      </x:c>
      <x:c r="B19" s="22" t="str">
        <x:v>中班</x:v>
      </x:c>
      <x:c r="C19" s="22" t="str">
        <x:v>L01</x:v>
      </x:c>
      <x:c r="D19" s="22" t="str">
        <x:v>P0014</x:v>
      </x:c>
      <x:c r="E19" s="22" t="str">
        <x:v>Q03</x:v>
      </x:c>
      <x:c r="F19" s="27" t="n">
        <x:v>23000</x:v>
      </x:c>
      <x:c r="G19" s="27" t="n">
        <x:v>23000</x:v>
      </x:c>
      <x:c r="H19" s="28" t="n">
        <x:v>1</x:v>
      </x:c>
      <x:c r="I19" s="29" t="n">
        <x:v>0.353641</x:v>
      </x:c>
      <x:c r="J19" s="26" t="n">
        <x:v>0</x:v>
      </x:c>
      <x:c r="K19" s="26" t="n">
        <x:v>0</x:v>
      </x:c>
      <x:c r="L19" s="22" t="str">
        <x:v>字典序MILP-Q95</x:v>
      </x:c>
    </x:row>
    <x:row r="20" ht="20" customHeight="1">
      <x:c r="A20" s="22" t="str">
        <x:v>2025-03-03</x:v>
      </x:c>
      <x:c r="B20" s="22" t="str">
        <x:v>中班</x:v>
      </x:c>
      <x:c r="C20" s="22" t="str">
        <x:v>L02</x:v>
      </x:c>
      <x:c r="D20" s="22" t="str">
        <x:v>P0159</x:v>
      </x:c>
      <x:c r="E20" s="22" t="str">
        <x:v>Q03</x:v>
      </x:c>
      <x:c r="F20" s="27" t="n">
        <x:v>31998</x:v>
      </x:c>
      <x:c r="G20" s="27" t="n">
        <x:v>31998</x:v>
      </x:c>
      <x:c r="H20" s="28" t="n">
        <x:v>1</x:v>
      </x:c>
      <x:c r="I20" s="29" t="n">
        <x:v>0.4</x:v>
      </x:c>
      <x:c r="J20" s="26" t="n">
        <x:v>0</x:v>
      </x:c>
      <x:c r="K20" s="26" t="n">
        <x:v>0</x:v>
      </x:c>
      <x:c r="L20" s="22" t="str">
        <x:v>字典序MILP-Q95</x:v>
      </x:c>
    </x:row>
    <x:row r="21" ht="20" customHeight="1">
      <x:c r="A21" s="22" t="str">
        <x:v>2025-03-03</x:v>
      </x:c>
      <x:c r="B21" s="22" t="str">
        <x:v>中班</x:v>
      </x:c>
      <x:c r="C21" s="22" t="str">
        <x:v>L03</x:v>
      </x:c>
      <x:c r="D21" s="22" t="str">
        <x:v>P0070</x:v>
      </x:c>
      <x:c r="E21" s="22" t="str">
        <x:v>Q03</x:v>
      </x:c>
      <x:c r="F21" s="27" t="n">
        <x:v>42000</x:v>
      </x:c>
      <x:c r="G21" s="27" t="n">
        <x:v>42000</x:v>
      </x:c>
      <x:c r="H21" s="28" t="n">
        <x:v>1</x:v>
      </x:c>
      <x:c r="I21" s="29" t="n">
        <x:v>0.6</x:v>
      </x:c>
      <x:c r="J21" s="26" t="n">
        <x:v>0</x:v>
      </x:c>
      <x:c r="K21" s="26" t="n">
        <x:v>0</x:v>
      </x:c>
      <x:c r="L21" s="22" t="str">
        <x:v>字典序MILP-Q95</x:v>
      </x:c>
    </x:row>
    <x:row r="22" ht="20" customHeight="1">
      <x:c r="A22" s="22" t="str">
        <x:v>2025-03-03</x:v>
      </x:c>
      <x:c r="B22" s="22" t="str">
        <x:v>中班</x:v>
      </x:c>
      <x:c r="C22" s="22" t="str">
        <x:v>L04</x:v>
      </x:c>
      <x:c r="D22" s="22" t="str">
        <x:v>P0163</x:v>
      </x:c>
      <x:c r="E22" s="22" t="str">
        <x:v>Q06</x:v>
      </x:c>
      <x:c r="F22" s="27" t="n">
        <x:v>21500</x:v>
      </x:c>
      <x:c r="G22" s="27" t="n">
        <x:v>21500</x:v>
      </x:c>
      <x:c r="H22" s="28" t="n">
        <x:v>1</x:v>
      </x:c>
      <x:c r="I22" s="29" t="n">
        <x:v>1</x:v>
      </x:c>
      <x:c r="J22" s="26" t="n">
        <x:v>0</x:v>
      </x:c>
      <x:c r="K22" s="26" t="n">
        <x:v>0</x:v>
      </x:c>
      <x:c r="L22" s="22" t="str">
        <x:v>字典序MILP-Q95</x:v>
      </x:c>
    </x:row>
    <x:row r="23" ht="20" customHeight="1">
      <x:c r="A23" s="22" t="str">
        <x:v>2025-03-03</x:v>
      </x:c>
      <x:c r="B23" s="22" t="str">
        <x:v>中班</x:v>
      </x:c>
      <x:c r="C23" s="22" t="str">
        <x:v>L05</x:v>
      </x:c>
      <x:c r="D23" s="22" t="str"/>
      <x:c r="E23" s="22" t="str"/>
      <x:c r="F23" s="27" t="n">
        <x:v>0</x:v>
      </x:c>
      <x:c r="G23" s="27" t="n">
        <x:v>0</x:v>
      </x:c>
      <x:c r="H23" s="28" t="n">
        <x:v>0</x:v>
      </x:c>
      <x:c r="I23" s="29" t="n">
        <x:v>0</x:v>
      </x:c>
      <x:c r="J23" s="26" t="n">
        <x:v>0</x:v>
      </x:c>
      <x:c r="K23" s="26" t="n">
        <x:v>0</x:v>
      </x:c>
      <x:c r="L23" s="22" t="str">
        <x:v>字典序MILP-Q95</x:v>
      </x:c>
    </x:row>
    <x:row r="24" ht="20" customHeight="1">
      <x:c r="A24" s="22" t="str">
        <x:v>2025-03-03</x:v>
      </x:c>
      <x:c r="B24" s="22" t="str">
        <x:v>中班</x:v>
      </x:c>
      <x:c r="C24" s="22" t="str">
        <x:v>L06</x:v>
      </x:c>
      <x:c r="D24" s="22" t="str">
        <x:v>P0013</x:v>
      </x:c>
      <x:c r="E24" s="22" t="str">
        <x:v>Q03</x:v>
      </x:c>
      <x:c r="F24" s="27" t="n">
        <x:v>34000</x:v>
      </x:c>
      <x:c r="G24" s="27" t="n">
        <x:v>34000</x:v>
      </x:c>
      <x:c r="H24" s="28" t="n">
        <x:v>1</x:v>
      </x:c>
      <x:c r="I24" s="29" t="n">
        <x:v>0.884614</x:v>
      </x:c>
      <x:c r="J24" s="26" t="n">
        <x:v>0</x:v>
      </x:c>
      <x:c r="K24" s="26" t="n">
        <x:v>0</x:v>
      </x:c>
      <x:c r="L24" s="22" t="str">
        <x:v>字典序MILP-Q95</x:v>
      </x:c>
    </x:row>
    <x:row r="25" ht="20" customHeight="1">
      <x:c r="A25" s="22" t="str">
        <x:v>2025-03-03</x:v>
      </x:c>
      <x:c r="B25" s="22" t="str">
        <x:v>中班</x:v>
      </x:c>
      <x:c r="C25" s="22" t="str">
        <x:v>L07</x:v>
      </x:c>
      <x:c r="D25" s="22" t="str">
        <x:v>P0163</x:v>
      </x:c>
      <x:c r="E25" s="22" t="str">
        <x:v>Q06</x:v>
      </x:c>
      <x:c r="F25" s="27" t="n">
        <x:v>21500</x:v>
      </x:c>
      <x:c r="G25" s="27" t="n">
        <x:v>21500</x:v>
      </x:c>
      <x:c r="H25" s="28" t="n">
        <x:v>1</x:v>
      </x:c>
      <x:c r="I25" s="29" t="n">
        <x:v>0.6</x:v>
      </x:c>
      <x:c r="J25" s="26" t="n">
        <x:v>0</x:v>
      </x:c>
      <x:c r="K25" s="26" t="n">
        <x:v>0</x:v>
      </x:c>
      <x:c r="L25" s="22" t="str">
        <x:v>字典序MILP-Q95</x:v>
      </x:c>
    </x:row>
    <x:row r="26" ht="20" customHeight="1">
      <x:c r="A26" s="22" t="str">
        <x:v>2025-03-03</x:v>
      </x:c>
      <x:c r="B26" s="22" t="str">
        <x:v>中班</x:v>
      </x:c>
      <x:c r="C26" s="22" t="str">
        <x:v>L08</x:v>
      </x:c>
      <x:c r="D26" s="22" t="str">
        <x:v>P0004</x:v>
      </x:c>
      <x:c r="E26" s="22" t="str">
        <x:v>Q02</x:v>
      </x:c>
      <x:c r="F26" s="27" t="n">
        <x:v>35000</x:v>
      </x:c>
      <x:c r="G26" s="27" t="n">
        <x:v>35000</x:v>
      </x:c>
      <x:c r="H26" s="28" t="n">
        <x:v>1</x:v>
      </x:c>
      <x:c r="I26" s="29" t="n">
        <x:v>1</x:v>
      </x:c>
      <x:c r="J26" s="26" t="n">
        <x:v>0</x:v>
      </x:c>
      <x:c r="K26" s="26" t="n">
        <x:v>0</x:v>
      </x:c>
      <x:c r="L26" s="22" t="str">
        <x:v>字典序MILP-Q95</x:v>
      </x:c>
    </x:row>
    <x:row r="27" ht="20" customHeight="1">
      <x:c r="A27" s="22" t="str">
        <x:v>2025-03-03</x:v>
      </x:c>
      <x:c r="B27" s="22" t="str">
        <x:v>中班</x:v>
      </x:c>
      <x:c r="C27" s="22" t="str">
        <x:v>L09</x:v>
      </x:c>
      <x:c r="D27" s="22" t="str">
        <x:v>P0064</x:v>
      </x:c>
      <x:c r="E27" s="22" t="str">
        <x:v>Q12</x:v>
      </x:c>
      <x:c r="F27" s="27" t="n">
        <x:v>18849</x:v>
      </x:c>
      <x:c r="G27" s="27" t="n">
        <x:v>18849</x:v>
      </x:c>
      <x:c r="H27" s="28" t="n">
        <x:v>1</x:v>
      </x:c>
      <x:c r="I27" s="29" t="n">
        <x:v>0.8</x:v>
      </x:c>
      <x:c r="J27" s="26" t="n">
        <x:v>0</x:v>
      </x:c>
      <x:c r="K27" s="26" t="n">
        <x:v>0</x:v>
      </x:c>
      <x:c r="L27" s="22" t="str">
        <x:v>字典序MILP-Q95</x:v>
      </x:c>
    </x:row>
    <x:row r="28" ht="20" customHeight="1">
      <x:c r="A28" s="22" t="str">
        <x:v>2025-03-03</x:v>
      </x:c>
      <x:c r="B28" s="22" t="str">
        <x:v>中班</x:v>
      </x:c>
      <x:c r="C28" s="22" t="str">
        <x:v>L10</x:v>
      </x:c>
      <x:c r="D28" s="22" t="str">
        <x:v>P0014</x:v>
      </x:c>
      <x:c r="E28" s="22" t="str">
        <x:v>Q03</x:v>
      </x:c>
      <x:c r="F28" s="27" t="n">
        <x:v>110000</x:v>
      </x:c>
      <x:c r="G28" s="27" t="n">
        <x:v>110000</x:v>
      </x:c>
      <x:c r="H28" s="28" t="n">
        <x:v>1</x:v>
      </x:c>
      <x:c r="I28" s="29" t="n">
        <x:v>0.877029</x:v>
      </x:c>
      <x:c r="J28" s="26" t="n">
        <x:v>0</x:v>
      </x:c>
      <x:c r="K28" s="26" t="n">
        <x:v>0</x:v>
      </x:c>
      <x:c r="L28" s="22" t="str">
        <x:v>字典序MILP-Q95</x:v>
      </x:c>
    </x:row>
    <x:row r="29" ht="20" customHeight="1">
      <x:c r="A29" s="22" t="str">
        <x:v>2025-03-03</x:v>
      </x:c>
      <x:c r="B29" s="22" t="str">
        <x:v>中班</x:v>
      </x:c>
      <x:c r="C29" s="22" t="str">
        <x:v>L11</x:v>
      </x:c>
      <x:c r="D29" s="22" t="str">
        <x:v>P0043</x:v>
      </x:c>
      <x:c r="E29" s="22" t="str">
        <x:v>Q04</x:v>
      </x:c>
      <x:c r="F29" s="27" t="n">
        <x:v>35000</x:v>
      </x:c>
      <x:c r="G29" s="27" t="n">
        <x:v>35000</x:v>
      </x:c>
      <x:c r="H29" s="28" t="n">
        <x:v>1</x:v>
      </x:c>
      <x:c r="I29" s="29" t="n">
        <x:v>1</x:v>
      </x:c>
      <x:c r="J29" s="26" t="n">
        <x:v>0</x:v>
      </x:c>
      <x:c r="K29" s="26" t="n">
        <x:v>0</x:v>
      </x:c>
      <x:c r="L29" s="22" t="str">
        <x:v>字典序MILP-Q95</x:v>
      </x:c>
    </x:row>
    <x:row r="30" ht="20" customHeight="1">
      <x:c r="A30" s="22" t="str">
        <x:v>2025-03-03</x:v>
      </x:c>
      <x:c r="B30" s="22" t="str">
        <x:v>中班</x:v>
      </x:c>
      <x:c r="C30" s="22" t="str">
        <x:v>L12</x:v>
      </x:c>
      <x:c r="D30" s="22" t="str">
        <x:v>P0013</x:v>
      </x:c>
      <x:c r="E30" s="22" t="str">
        <x:v>Q03</x:v>
      </x:c>
      <x:c r="F30" s="27" t="n">
        <x:v>35000</x:v>
      </x:c>
      <x:c r="G30" s="27" t="n">
        <x:v>35000</x:v>
      </x:c>
      <x:c r="H30" s="28" t="n">
        <x:v>1</x:v>
      </x:c>
      <x:c r="I30" s="29" t="n">
        <x:v>0.695541</x:v>
      </x:c>
      <x:c r="J30" s="26" t="n">
        <x:v>0</x:v>
      </x:c>
      <x:c r="K30" s="26" t="n">
        <x:v>0</x:v>
      </x:c>
      <x:c r="L30" s="22" t="str">
        <x:v>字典序MILP-Q95</x:v>
      </x:c>
    </x:row>
    <x:row r="31" ht="20" customHeight="1">
      <x:c r="A31" s="22" t="str">
        <x:v>2025-03-03</x:v>
      </x:c>
      <x:c r="B31" s="22" t="str">
        <x:v>中班</x:v>
      </x:c>
      <x:c r="C31" s="22" t="str">
        <x:v>L13</x:v>
      </x:c>
      <x:c r="D31" s="22" t="str">
        <x:v>P0059</x:v>
      </x:c>
      <x:c r="E31" s="22" t="str">
        <x:v>Q08</x:v>
      </x:c>
      <x:c r="F31" s="27" t="n">
        <x:v>13500</x:v>
      </x:c>
      <x:c r="G31" s="27" t="n">
        <x:v>13500</x:v>
      </x:c>
      <x:c r="H31" s="28" t="n">
        <x:v>1</x:v>
      </x:c>
      <x:c r="I31" s="29" t="n">
        <x:v>0.8</x:v>
      </x:c>
      <x:c r="J31" s="26" t="n">
        <x:v>0</x:v>
      </x:c>
      <x:c r="K31" s="26" t="n">
        <x:v>0</x:v>
      </x:c>
      <x:c r="L31" s="22" t="str">
        <x:v>字典序MILP-Q95</x:v>
      </x:c>
    </x:row>
    <x:row r="32" ht="20" customHeight="1">
      <x:c r="A32" s="22" t="str">
        <x:v>2025-03-03</x:v>
      </x:c>
      <x:c r="B32" s="22" t="str">
        <x:v>中班</x:v>
      </x:c>
      <x:c r="C32" s="22" t="str">
        <x:v>L14</x:v>
      </x:c>
      <x:c r="D32" s="22" t="str">
        <x:v>P0013</x:v>
      </x:c>
      <x:c r="E32" s="22" t="str">
        <x:v>Q03</x:v>
      </x:c>
      <x:c r="F32" s="27" t="n">
        <x:v>28000</x:v>
      </x:c>
      <x:c r="G32" s="27" t="n">
        <x:v>28000</x:v>
      </x:c>
      <x:c r="H32" s="28" t="n">
        <x:v>1</x:v>
      </x:c>
      <x:c r="I32" s="29" t="n">
        <x:v>0.741574</x:v>
      </x:c>
      <x:c r="J32" s="26" t="n">
        <x:v>0</x:v>
      </x:c>
      <x:c r="K32" s="26" t="n">
        <x:v>0</x:v>
      </x:c>
      <x:c r="L32" s="22" t="str">
        <x:v>字典序MILP-Q95</x:v>
      </x:c>
    </x:row>
    <x:row r="33" ht="20" customHeight="1">
      <x:c r="A33" s="22" t="str">
        <x:v>2025-03-04</x:v>
      </x:c>
      <x:c r="B33" s="22" t="str">
        <x:v>早班</x:v>
      </x:c>
      <x:c r="C33" s="22" t="str">
        <x:v>L01</x:v>
      </x:c>
      <x:c r="D33" s="22" t="str">
        <x:v>P0014</x:v>
      </x:c>
      <x:c r="E33" s="22" t="str">
        <x:v>Q03</x:v>
      </x:c>
      <x:c r="F33" s="27" t="n">
        <x:v>23000</x:v>
      </x:c>
      <x:c r="G33" s="27" t="n">
        <x:v>23000</x:v>
      </x:c>
      <x:c r="H33" s="28" t="n">
        <x:v>1</x:v>
      </x:c>
      <x:c r="I33" s="29" t="n">
        <x:v>0.353641</x:v>
      </x:c>
      <x:c r="J33" s="26" t="n">
        <x:v>0</x:v>
      </x:c>
      <x:c r="K33" s="26" t="n">
        <x:v>0</x:v>
      </x:c>
      <x:c r="L33" s="22" t="str">
        <x:v>字典序MILP-Q95</x:v>
      </x:c>
    </x:row>
    <x:row r="34" ht="20" customHeight="1">
      <x:c r="A34" s="22" t="str">
        <x:v>2025-03-04</x:v>
      </x:c>
      <x:c r="B34" s="22" t="str">
        <x:v>早班</x:v>
      </x:c>
      <x:c r="C34" s="22" t="str">
        <x:v>L02</x:v>
      </x:c>
      <x:c r="D34" s="22" t="str">
        <x:v>P0159</x:v>
      </x:c>
      <x:c r="E34" s="22" t="str">
        <x:v>Q03</x:v>
      </x:c>
      <x:c r="F34" s="27" t="n">
        <x:v>31998</x:v>
      </x:c>
      <x:c r="G34" s="27" t="n">
        <x:v>31998</x:v>
      </x:c>
      <x:c r="H34" s="28" t="n">
        <x:v>1</x:v>
      </x:c>
      <x:c r="I34" s="29" t="n">
        <x:v>0.4</x:v>
      </x:c>
      <x:c r="J34" s="26" t="n">
        <x:v>0</x:v>
      </x:c>
      <x:c r="K34" s="26" t="n">
        <x:v>0</x:v>
      </x:c>
      <x:c r="L34" s="22" t="str">
        <x:v>字典序MILP-Q95</x:v>
      </x:c>
    </x:row>
    <x:row r="35" ht="20" customHeight="1">
      <x:c r="A35" s="22" t="str">
        <x:v>2025-03-04</x:v>
      </x:c>
      <x:c r="B35" s="22" t="str">
        <x:v>早班</x:v>
      </x:c>
      <x:c r="C35" s="22" t="str">
        <x:v>L03</x:v>
      </x:c>
      <x:c r="D35" s="22" t="str">
        <x:v>P0070</x:v>
      </x:c>
      <x:c r="E35" s="22" t="str">
        <x:v>Q03</x:v>
      </x:c>
      <x:c r="F35" s="27" t="n">
        <x:v>42000</x:v>
      </x:c>
      <x:c r="G35" s="27" t="n">
        <x:v>42000</x:v>
      </x:c>
      <x:c r="H35" s="28" t="n">
        <x:v>1</x:v>
      </x:c>
      <x:c r="I35" s="29" t="n">
        <x:v>0.6</x:v>
      </x:c>
      <x:c r="J35" s="26" t="n">
        <x:v>0</x:v>
      </x:c>
      <x:c r="K35" s="26" t="n">
        <x:v>0</x:v>
      </x:c>
      <x:c r="L35" s="22" t="str">
        <x:v>字典序MILP-Q95</x:v>
      </x:c>
    </x:row>
    <x:row r="36" ht="20" customHeight="1">
      <x:c r="A36" s="22" t="str">
        <x:v>2025-03-04</x:v>
      </x:c>
      <x:c r="B36" s="22" t="str">
        <x:v>早班</x:v>
      </x:c>
      <x:c r="C36" s="22" t="str">
        <x:v>L04</x:v>
      </x:c>
      <x:c r="D36" s="22" t="str">
        <x:v>P0163</x:v>
      </x:c>
      <x:c r="E36" s="22" t="str">
        <x:v>Q06</x:v>
      </x:c>
      <x:c r="F36" s="27" t="n">
        <x:v>21500</x:v>
      </x:c>
      <x:c r="G36" s="27" t="n">
        <x:v>21500</x:v>
      </x:c>
      <x:c r="H36" s="28" t="n">
        <x:v>1</x:v>
      </x:c>
      <x:c r="I36" s="29" t="n">
        <x:v>1</x:v>
      </x:c>
      <x:c r="J36" s="26" t="n">
        <x:v>0</x:v>
      </x:c>
      <x:c r="K36" s="26" t="n">
        <x:v>0</x:v>
      </x:c>
      <x:c r="L36" s="22" t="str">
        <x:v>字典序MILP-Q95</x:v>
      </x:c>
    </x:row>
    <x:row r="37" ht="20" customHeight="1">
      <x:c r="A37" s="22" t="str">
        <x:v>2025-03-04</x:v>
      </x:c>
      <x:c r="B37" s="22" t="str">
        <x:v>早班</x:v>
      </x:c>
      <x:c r="C37" s="22" t="str">
        <x:v>L05</x:v>
      </x:c>
      <x:c r="D37" s="22" t="str"/>
      <x:c r="E37" s="22" t="str"/>
      <x:c r="F37" s="27" t="n">
        <x:v>0</x:v>
      </x:c>
      <x:c r="G37" s="27" t="n">
        <x:v>0</x:v>
      </x:c>
      <x:c r="H37" s="28" t="n">
        <x:v>0</x:v>
      </x:c>
      <x:c r="I37" s="29" t="n">
        <x:v>0</x:v>
      </x:c>
      <x:c r="J37" s="26" t="n">
        <x:v>0</x:v>
      </x:c>
      <x:c r="K37" s="26" t="n">
        <x:v>0</x:v>
      </x:c>
      <x:c r="L37" s="22" t="str">
        <x:v>字典序MILP-Q95</x:v>
      </x:c>
    </x:row>
    <x:row r="38" ht="20" customHeight="1">
      <x:c r="A38" s="22" t="str">
        <x:v>2025-03-04</x:v>
      </x:c>
      <x:c r="B38" s="22" t="str">
        <x:v>早班</x:v>
      </x:c>
      <x:c r="C38" s="22" t="str">
        <x:v>L06</x:v>
      </x:c>
      <x:c r="D38" s="22" t="str">
        <x:v>P0013</x:v>
      </x:c>
      <x:c r="E38" s="22" t="str">
        <x:v>Q03</x:v>
      </x:c>
      <x:c r="F38" s="27" t="n">
        <x:v>34000</x:v>
      </x:c>
      <x:c r="G38" s="27" t="n">
        <x:v>34000</x:v>
      </x:c>
      <x:c r="H38" s="28" t="n">
        <x:v>1</x:v>
      </x:c>
      <x:c r="I38" s="29" t="n">
        <x:v>0.884614</x:v>
      </x:c>
      <x:c r="J38" s="26" t="n">
        <x:v>0</x:v>
      </x:c>
      <x:c r="K38" s="26" t="n">
        <x:v>0</x:v>
      </x:c>
      <x:c r="L38" s="22" t="str">
        <x:v>字典序MILP-Q95</x:v>
      </x:c>
    </x:row>
    <x:row r="39" ht="20" customHeight="1">
      <x:c r="A39" s="22" t="str">
        <x:v>2025-03-04</x:v>
      </x:c>
      <x:c r="B39" s="22" t="str">
        <x:v>早班</x:v>
      </x:c>
      <x:c r="C39" s="22" t="str">
        <x:v>L07</x:v>
      </x:c>
      <x:c r="D39" s="22" t="str">
        <x:v>P0163</x:v>
      </x:c>
      <x:c r="E39" s="22" t="str">
        <x:v>Q06</x:v>
      </x:c>
      <x:c r="F39" s="27" t="n">
        <x:v>21500</x:v>
      </x:c>
      <x:c r="G39" s="27" t="n">
        <x:v>21500</x:v>
      </x:c>
      <x:c r="H39" s="28" t="n">
        <x:v>1</x:v>
      </x:c>
      <x:c r="I39" s="29" t="n">
        <x:v>0.6</x:v>
      </x:c>
      <x:c r="J39" s="26" t="n">
        <x:v>0</x:v>
      </x:c>
      <x:c r="K39" s="26" t="n">
        <x:v>0</x:v>
      </x:c>
      <x:c r="L39" s="22" t="str">
        <x:v>字典序MILP-Q95</x:v>
      </x:c>
    </x:row>
    <x:row r="40" ht="20" customHeight="1">
      <x:c r="A40" s="22" t="str">
        <x:v>2025-03-04</x:v>
      </x:c>
      <x:c r="B40" s="22" t="str">
        <x:v>早班</x:v>
      </x:c>
      <x:c r="C40" s="22" t="str">
        <x:v>L08</x:v>
      </x:c>
      <x:c r="D40" s="22" t="str">
        <x:v>P0004</x:v>
      </x:c>
      <x:c r="E40" s="22" t="str">
        <x:v>Q02</x:v>
      </x:c>
      <x:c r="F40" s="27" t="n">
        <x:v>35000</x:v>
      </x:c>
      <x:c r="G40" s="27" t="n">
        <x:v>35000</x:v>
      </x:c>
      <x:c r="H40" s="28" t="n">
        <x:v>1</x:v>
      </x:c>
      <x:c r="I40" s="29" t="n">
        <x:v>1</x:v>
      </x:c>
      <x:c r="J40" s="26" t="n">
        <x:v>0</x:v>
      </x:c>
      <x:c r="K40" s="26" t="n">
        <x:v>0</x:v>
      </x:c>
      <x:c r="L40" s="22" t="str">
        <x:v>字典序MILP-Q95</x:v>
      </x:c>
    </x:row>
    <x:row r="41" ht="20" customHeight="1">
      <x:c r="A41" s="22" t="str">
        <x:v>2025-03-04</x:v>
      </x:c>
      <x:c r="B41" s="22" t="str">
        <x:v>早班</x:v>
      </x:c>
      <x:c r="C41" s="22" t="str">
        <x:v>L09</x:v>
      </x:c>
      <x:c r="D41" s="22" t="str">
        <x:v>P0064</x:v>
      </x:c>
      <x:c r="E41" s="22" t="str">
        <x:v>Q12</x:v>
      </x:c>
      <x:c r="F41" s="27" t="n">
        <x:v>18849</x:v>
      </x:c>
      <x:c r="G41" s="27" t="n">
        <x:v>18849</x:v>
      </x:c>
      <x:c r="H41" s="28" t="n">
        <x:v>1</x:v>
      </x:c>
      <x:c r="I41" s="29" t="n">
        <x:v>0.8</x:v>
      </x:c>
      <x:c r="J41" s="26" t="n">
        <x:v>0</x:v>
      </x:c>
      <x:c r="K41" s="26" t="n">
        <x:v>0</x:v>
      </x:c>
      <x:c r="L41" s="22" t="str">
        <x:v>字典序MILP-Q95</x:v>
      </x:c>
    </x:row>
    <x:row r="42" ht="20" customHeight="1">
      <x:c r="A42" s="22" t="str">
        <x:v>2025-03-04</x:v>
      </x:c>
      <x:c r="B42" s="22" t="str">
        <x:v>早班</x:v>
      </x:c>
      <x:c r="C42" s="22" t="str">
        <x:v>L10</x:v>
      </x:c>
      <x:c r="D42" s="22" t="str">
        <x:v>P0014</x:v>
      </x:c>
      <x:c r="E42" s="22" t="str">
        <x:v>Q03</x:v>
      </x:c>
      <x:c r="F42" s="27" t="n">
        <x:v>110000</x:v>
      </x:c>
      <x:c r="G42" s="27" t="n">
        <x:v>110000</x:v>
      </x:c>
      <x:c r="H42" s="28" t="n">
        <x:v>1</x:v>
      </x:c>
      <x:c r="I42" s="29" t="n">
        <x:v>0.877029</x:v>
      </x:c>
      <x:c r="J42" s="26" t="n">
        <x:v>0</x:v>
      </x:c>
      <x:c r="K42" s="26" t="n">
        <x:v>0</x:v>
      </x:c>
      <x:c r="L42" s="22" t="str">
        <x:v>字典序MILP-Q95</x:v>
      </x:c>
    </x:row>
    <x:row r="43" ht="20" customHeight="1">
      <x:c r="A43" s="22" t="str">
        <x:v>2025-03-04</x:v>
      </x:c>
      <x:c r="B43" s="22" t="str">
        <x:v>早班</x:v>
      </x:c>
      <x:c r="C43" s="22" t="str">
        <x:v>L11</x:v>
      </x:c>
      <x:c r="D43" s="22" t="str">
        <x:v>P0043</x:v>
      </x:c>
      <x:c r="E43" s="22" t="str">
        <x:v>Q04</x:v>
      </x:c>
      <x:c r="F43" s="27" t="n">
        <x:v>35000</x:v>
      </x:c>
      <x:c r="G43" s="27" t="n">
        <x:v>35000</x:v>
      </x:c>
      <x:c r="H43" s="28" t="n">
        <x:v>1</x:v>
      </x:c>
      <x:c r="I43" s="29" t="n">
        <x:v>1</x:v>
      </x:c>
      <x:c r="J43" s="26" t="n">
        <x:v>0</x:v>
      </x:c>
      <x:c r="K43" s="26" t="n">
        <x:v>0</x:v>
      </x:c>
      <x:c r="L43" s="22" t="str">
        <x:v>字典序MILP-Q95</x:v>
      </x:c>
    </x:row>
    <x:row r="44" ht="20" customHeight="1">
      <x:c r="A44" s="22" t="str">
        <x:v>2025-03-04</x:v>
      </x:c>
      <x:c r="B44" s="22" t="str">
        <x:v>早班</x:v>
      </x:c>
      <x:c r="C44" s="22" t="str">
        <x:v>L12</x:v>
      </x:c>
      <x:c r="D44" s="22" t="str">
        <x:v>P0013</x:v>
      </x:c>
      <x:c r="E44" s="22" t="str">
        <x:v>Q03</x:v>
      </x:c>
      <x:c r="F44" s="27" t="n">
        <x:v>35000</x:v>
      </x:c>
      <x:c r="G44" s="27" t="n">
        <x:v>35000</x:v>
      </x:c>
      <x:c r="H44" s="28" t="n">
        <x:v>1</x:v>
      </x:c>
      <x:c r="I44" s="29" t="n">
        <x:v>0.695541</x:v>
      </x:c>
      <x:c r="J44" s="26" t="n">
        <x:v>0</x:v>
      </x:c>
      <x:c r="K44" s="26" t="n">
        <x:v>0</x:v>
      </x:c>
      <x:c r="L44" s="22" t="str">
        <x:v>字典序MILP-Q95</x:v>
      </x:c>
    </x:row>
    <x:row r="45" ht="20" customHeight="1">
      <x:c r="A45" s="22" t="str">
        <x:v>2025-03-04</x:v>
      </x:c>
      <x:c r="B45" s="22" t="str">
        <x:v>早班</x:v>
      </x:c>
      <x:c r="C45" s="22" t="str">
        <x:v>L13</x:v>
      </x:c>
      <x:c r="D45" s="22" t="str">
        <x:v>P0059</x:v>
      </x:c>
      <x:c r="E45" s="22" t="str">
        <x:v>Q08</x:v>
      </x:c>
      <x:c r="F45" s="27" t="n">
        <x:v>13500</x:v>
      </x:c>
      <x:c r="G45" s="27" t="n">
        <x:v>13500</x:v>
      </x:c>
      <x:c r="H45" s="28" t="n">
        <x:v>1</x:v>
      </x:c>
      <x:c r="I45" s="29" t="n">
        <x:v>0.8</x:v>
      </x:c>
      <x:c r="J45" s="26" t="n">
        <x:v>0</x:v>
      </x:c>
      <x:c r="K45" s="26" t="n">
        <x:v>0</x:v>
      </x:c>
      <x:c r="L45" s="22" t="str">
        <x:v>字典序MILP-Q95</x:v>
      </x:c>
    </x:row>
    <x:row r="46" ht="20" customHeight="1">
      <x:c r="A46" s="22" t="str">
        <x:v>2025-03-04</x:v>
      </x:c>
      <x:c r="B46" s="22" t="str">
        <x:v>早班</x:v>
      </x:c>
      <x:c r="C46" s="22" t="str">
        <x:v>L14</x:v>
      </x:c>
      <x:c r="D46" s="22" t="str">
        <x:v>P0013</x:v>
      </x:c>
      <x:c r="E46" s="22" t="str">
        <x:v>Q03</x:v>
      </x:c>
      <x:c r="F46" s="27" t="n">
        <x:v>28000</x:v>
      </x:c>
      <x:c r="G46" s="27" t="n">
        <x:v>28000</x:v>
      </x:c>
      <x:c r="H46" s="28" t="n">
        <x:v>1</x:v>
      </x:c>
      <x:c r="I46" s="29" t="n">
        <x:v>0.741574</x:v>
      </x:c>
      <x:c r="J46" s="26" t="n">
        <x:v>0</x:v>
      </x:c>
      <x:c r="K46" s="26" t="n">
        <x:v>0</x:v>
      </x:c>
      <x:c r="L46" s="22" t="str">
        <x:v>字典序MILP-Q95</x:v>
      </x:c>
    </x:row>
    <x:row r="47" ht="20" customHeight="1">
      <x:c r="A47" s="22" t="str">
        <x:v>2025-03-04</x:v>
      </x:c>
      <x:c r="B47" s="22" t="str">
        <x:v>中班</x:v>
      </x:c>
      <x:c r="C47" s="22" t="str">
        <x:v>L01</x:v>
      </x:c>
      <x:c r="D47" s="22" t="str">
        <x:v>P0014</x:v>
      </x:c>
      <x:c r="E47" s="22" t="str">
        <x:v>Q03</x:v>
      </x:c>
      <x:c r="F47" s="27" t="n">
        <x:v>23000</x:v>
      </x:c>
      <x:c r="G47" s="27" t="n">
        <x:v>23000</x:v>
      </x:c>
      <x:c r="H47" s="28" t="n">
        <x:v>1</x:v>
      </x:c>
      <x:c r="I47" s="29" t="n">
        <x:v>0.353641</x:v>
      </x:c>
      <x:c r="J47" s="26" t="n">
        <x:v>0</x:v>
      </x:c>
      <x:c r="K47" s="26" t="n">
        <x:v>0</x:v>
      </x:c>
      <x:c r="L47" s="22" t="str">
        <x:v>字典序MILP-Q95</x:v>
      </x:c>
    </x:row>
    <x:row r="48" ht="20" customHeight="1">
      <x:c r="A48" s="22" t="str">
        <x:v>2025-03-04</x:v>
      </x:c>
      <x:c r="B48" s="22" t="str">
        <x:v>中班</x:v>
      </x:c>
      <x:c r="C48" s="22" t="str">
        <x:v>L02</x:v>
      </x:c>
      <x:c r="D48" s="22" t="str">
        <x:v>P0159</x:v>
      </x:c>
      <x:c r="E48" s="22" t="str">
        <x:v>Q03</x:v>
      </x:c>
      <x:c r="F48" s="27" t="n">
        <x:v>31998</x:v>
      </x:c>
      <x:c r="G48" s="27" t="n">
        <x:v>31998</x:v>
      </x:c>
      <x:c r="H48" s="28" t="n">
        <x:v>1</x:v>
      </x:c>
      <x:c r="I48" s="29" t="n">
        <x:v>0.4</x:v>
      </x:c>
      <x:c r="J48" s="26" t="n">
        <x:v>0</x:v>
      </x:c>
      <x:c r="K48" s="26" t="n">
        <x:v>0</x:v>
      </x:c>
      <x:c r="L48" s="22" t="str">
        <x:v>字典序MILP-Q95</x:v>
      </x:c>
    </x:row>
    <x:row r="49" ht="20" customHeight="1">
      <x:c r="A49" s="22" t="str">
        <x:v>2025-03-04</x:v>
      </x:c>
      <x:c r="B49" s="22" t="str">
        <x:v>中班</x:v>
      </x:c>
      <x:c r="C49" s="22" t="str">
        <x:v>L03</x:v>
      </x:c>
      <x:c r="D49" s="22" t="str">
        <x:v>P0070</x:v>
      </x:c>
      <x:c r="E49" s="22" t="str">
        <x:v>Q03</x:v>
      </x:c>
      <x:c r="F49" s="27" t="n">
        <x:v>42000</x:v>
      </x:c>
      <x:c r="G49" s="27" t="n">
        <x:v>42000</x:v>
      </x:c>
      <x:c r="H49" s="28" t="n">
        <x:v>1</x:v>
      </x:c>
      <x:c r="I49" s="29" t="n">
        <x:v>0.6</x:v>
      </x:c>
      <x:c r="J49" s="26" t="n">
        <x:v>0</x:v>
      </x:c>
      <x:c r="K49" s="26" t="n">
        <x:v>0</x:v>
      </x:c>
      <x:c r="L49" s="22" t="str">
        <x:v>字典序MILP-Q95</x:v>
      </x:c>
    </x:row>
    <x:row r="50" ht="20" customHeight="1">
      <x:c r="A50" s="22" t="str">
        <x:v>2025-03-04</x:v>
      </x:c>
      <x:c r="B50" s="22" t="str">
        <x:v>中班</x:v>
      </x:c>
      <x:c r="C50" s="22" t="str">
        <x:v>L04</x:v>
      </x:c>
      <x:c r="D50" s="22" t="str">
        <x:v>P0163</x:v>
      </x:c>
      <x:c r="E50" s="22" t="str">
        <x:v>Q06</x:v>
      </x:c>
      <x:c r="F50" s="27" t="n">
        <x:v>21500</x:v>
      </x:c>
      <x:c r="G50" s="27" t="n">
        <x:v>21500</x:v>
      </x:c>
      <x:c r="H50" s="28" t="n">
        <x:v>1</x:v>
      </x:c>
      <x:c r="I50" s="29" t="n">
        <x:v>1</x:v>
      </x:c>
      <x:c r="J50" s="26" t="n">
        <x:v>0</x:v>
      </x:c>
      <x:c r="K50" s="26" t="n">
        <x:v>0</x:v>
      </x:c>
      <x:c r="L50" s="22" t="str">
        <x:v>字典序MILP-Q95</x:v>
      </x:c>
    </x:row>
    <x:row r="51" ht="20" customHeight="1">
      <x:c r="A51" s="22" t="str">
        <x:v>2025-03-04</x:v>
      </x:c>
      <x:c r="B51" s="22" t="str">
        <x:v>中班</x:v>
      </x:c>
      <x:c r="C51" s="22" t="str">
        <x:v>L05</x:v>
      </x:c>
      <x:c r="D51" s="22" t="str"/>
      <x:c r="E51" s="22" t="str"/>
      <x:c r="F51" s="27" t="n">
        <x:v>0</x:v>
      </x:c>
      <x:c r="G51" s="27" t="n">
        <x:v>0</x:v>
      </x:c>
      <x:c r="H51" s="28" t="n">
        <x:v>0</x:v>
      </x:c>
      <x:c r="I51" s="29" t="n">
        <x:v>0</x:v>
      </x:c>
      <x:c r="J51" s="26" t="n">
        <x:v>0</x:v>
      </x:c>
      <x:c r="K51" s="26" t="n">
        <x:v>0</x:v>
      </x:c>
      <x:c r="L51" s="22" t="str">
        <x:v>字典序MILP-Q95</x:v>
      </x:c>
    </x:row>
    <x:row r="52" ht="20" customHeight="1">
      <x:c r="A52" s="22" t="str">
        <x:v>2025-03-04</x:v>
      </x:c>
      <x:c r="B52" s="22" t="str">
        <x:v>中班</x:v>
      </x:c>
      <x:c r="C52" s="22" t="str">
        <x:v>L06</x:v>
      </x:c>
      <x:c r="D52" s="22" t="str">
        <x:v>P0013</x:v>
      </x:c>
      <x:c r="E52" s="22" t="str">
        <x:v>Q03</x:v>
      </x:c>
      <x:c r="F52" s="27" t="n">
        <x:v>34000</x:v>
      </x:c>
      <x:c r="G52" s="27" t="n">
        <x:v>34000</x:v>
      </x:c>
      <x:c r="H52" s="28" t="n">
        <x:v>1</x:v>
      </x:c>
      <x:c r="I52" s="29" t="n">
        <x:v>0.884614</x:v>
      </x:c>
      <x:c r="J52" s="26" t="n">
        <x:v>0</x:v>
      </x:c>
      <x:c r="K52" s="26" t="n">
        <x:v>0</x:v>
      </x:c>
      <x:c r="L52" s="22" t="str">
        <x:v>字典序MILP-Q95</x:v>
      </x:c>
    </x:row>
    <x:row r="53" ht="20" customHeight="1">
      <x:c r="A53" s="22" t="str">
        <x:v>2025-03-04</x:v>
      </x:c>
      <x:c r="B53" s="22" t="str">
        <x:v>中班</x:v>
      </x:c>
      <x:c r="C53" s="22" t="str">
        <x:v>L07</x:v>
      </x:c>
      <x:c r="D53" s="22" t="str">
        <x:v>P0163</x:v>
      </x:c>
      <x:c r="E53" s="22" t="str">
        <x:v>Q06</x:v>
      </x:c>
      <x:c r="F53" s="27" t="n">
        <x:v>21500</x:v>
      </x:c>
      <x:c r="G53" s="27" t="n">
        <x:v>21500</x:v>
      </x:c>
      <x:c r="H53" s="28" t="n">
        <x:v>1</x:v>
      </x:c>
      <x:c r="I53" s="29" t="n">
        <x:v>0.6</x:v>
      </x:c>
      <x:c r="J53" s="26" t="n">
        <x:v>0</x:v>
      </x:c>
      <x:c r="K53" s="26" t="n">
        <x:v>0</x:v>
      </x:c>
      <x:c r="L53" s="22" t="str">
        <x:v>字典序MILP-Q95</x:v>
      </x:c>
    </x:row>
    <x:row r="54" ht="20" customHeight="1">
      <x:c r="A54" s="22" t="str">
        <x:v>2025-03-04</x:v>
      </x:c>
      <x:c r="B54" s="22" t="str">
        <x:v>中班</x:v>
      </x:c>
      <x:c r="C54" s="22" t="str">
        <x:v>L08</x:v>
      </x:c>
      <x:c r="D54" s="22" t="str">
        <x:v>P0004</x:v>
      </x:c>
      <x:c r="E54" s="22" t="str">
        <x:v>Q02</x:v>
      </x:c>
      <x:c r="F54" s="27" t="n">
        <x:v>35000</x:v>
      </x:c>
      <x:c r="G54" s="27" t="n">
        <x:v>35000</x:v>
      </x:c>
      <x:c r="H54" s="28" t="n">
        <x:v>1</x:v>
      </x:c>
      <x:c r="I54" s="29" t="n">
        <x:v>1</x:v>
      </x:c>
      <x:c r="J54" s="26" t="n">
        <x:v>0</x:v>
      </x:c>
      <x:c r="K54" s="26" t="n">
        <x:v>0</x:v>
      </x:c>
      <x:c r="L54" s="22" t="str">
        <x:v>字典序MILP-Q95</x:v>
      </x:c>
    </x:row>
    <x:row r="55" ht="20" customHeight="1">
      <x:c r="A55" s="22" t="str">
        <x:v>2025-03-04</x:v>
      </x:c>
      <x:c r="B55" s="22" t="str">
        <x:v>中班</x:v>
      </x:c>
      <x:c r="C55" s="22" t="str">
        <x:v>L09</x:v>
      </x:c>
      <x:c r="D55" s="22" t="str">
        <x:v>P0064</x:v>
      </x:c>
      <x:c r="E55" s="22" t="str">
        <x:v>Q12</x:v>
      </x:c>
      <x:c r="F55" s="27" t="n">
        <x:v>18849</x:v>
      </x:c>
      <x:c r="G55" s="27" t="n">
        <x:v>18849</x:v>
      </x:c>
      <x:c r="H55" s="28" t="n">
        <x:v>1</x:v>
      </x:c>
      <x:c r="I55" s="29" t="n">
        <x:v>0.8</x:v>
      </x:c>
      <x:c r="J55" s="26" t="n">
        <x:v>0</x:v>
      </x:c>
      <x:c r="K55" s="26" t="n">
        <x:v>0</x:v>
      </x:c>
      <x:c r="L55" s="22" t="str">
        <x:v>字典序MILP-Q95</x:v>
      </x:c>
    </x:row>
    <x:row r="56" ht="20" customHeight="1">
      <x:c r="A56" s="22" t="str">
        <x:v>2025-03-04</x:v>
      </x:c>
      <x:c r="B56" s="22" t="str">
        <x:v>中班</x:v>
      </x:c>
      <x:c r="C56" s="22" t="str">
        <x:v>L10</x:v>
      </x:c>
      <x:c r="D56" s="22" t="str">
        <x:v>P0014</x:v>
      </x:c>
      <x:c r="E56" s="22" t="str">
        <x:v>Q03</x:v>
      </x:c>
      <x:c r="F56" s="27" t="n">
        <x:v>110000</x:v>
      </x:c>
      <x:c r="G56" s="27" t="n">
        <x:v>110000</x:v>
      </x:c>
      <x:c r="H56" s="28" t="n">
        <x:v>1</x:v>
      </x:c>
      <x:c r="I56" s="29" t="n">
        <x:v>0.877029</x:v>
      </x:c>
      <x:c r="J56" s="26" t="n">
        <x:v>0</x:v>
      </x:c>
      <x:c r="K56" s="26" t="n">
        <x:v>0</x:v>
      </x:c>
      <x:c r="L56" s="22" t="str">
        <x:v>字典序MILP-Q95</x:v>
      </x:c>
    </x:row>
    <x:row r="57" ht="20" customHeight="1">
      <x:c r="A57" s="22" t="str">
        <x:v>2025-03-04</x:v>
      </x:c>
      <x:c r="B57" s="22" t="str">
        <x:v>中班</x:v>
      </x:c>
      <x:c r="C57" s="22" t="str">
        <x:v>L11</x:v>
      </x:c>
      <x:c r="D57" s="22" t="str">
        <x:v>P0043</x:v>
      </x:c>
      <x:c r="E57" s="22" t="str">
        <x:v>Q04</x:v>
      </x:c>
      <x:c r="F57" s="27" t="n">
        <x:v>35000</x:v>
      </x:c>
      <x:c r="G57" s="27" t="n">
        <x:v>35000</x:v>
      </x:c>
      <x:c r="H57" s="28" t="n">
        <x:v>1</x:v>
      </x:c>
      <x:c r="I57" s="29" t="n">
        <x:v>1</x:v>
      </x:c>
      <x:c r="J57" s="26" t="n">
        <x:v>0</x:v>
      </x:c>
      <x:c r="K57" s="26" t="n">
        <x:v>0</x:v>
      </x:c>
      <x:c r="L57" s="22" t="str">
        <x:v>字典序MILP-Q95</x:v>
      </x:c>
    </x:row>
    <x:row r="58" ht="20" customHeight="1">
      <x:c r="A58" s="22" t="str">
        <x:v>2025-03-04</x:v>
      </x:c>
      <x:c r="B58" s="22" t="str">
        <x:v>中班</x:v>
      </x:c>
      <x:c r="C58" s="22" t="str">
        <x:v>L12</x:v>
      </x:c>
      <x:c r="D58" s="22" t="str">
        <x:v>P0013</x:v>
      </x:c>
      <x:c r="E58" s="22" t="str">
        <x:v>Q03</x:v>
      </x:c>
      <x:c r="F58" s="27" t="n">
        <x:v>35000</x:v>
      </x:c>
      <x:c r="G58" s="27" t="n">
        <x:v>35000</x:v>
      </x:c>
      <x:c r="H58" s="28" t="n">
        <x:v>1</x:v>
      </x:c>
      <x:c r="I58" s="29" t="n">
        <x:v>0.695541</x:v>
      </x:c>
      <x:c r="J58" s="26" t="n">
        <x:v>0</x:v>
      </x:c>
      <x:c r="K58" s="26" t="n">
        <x:v>0</x:v>
      </x:c>
      <x:c r="L58" s="22" t="str">
        <x:v>字典序MILP-Q95</x:v>
      </x:c>
    </x:row>
    <x:row r="59" ht="20" customHeight="1">
      <x:c r="A59" s="22" t="str">
        <x:v>2025-03-04</x:v>
      </x:c>
      <x:c r="B59" s="22" t="str">
        <x:v>中班</x:v>
      </x:c>
      <x:c r="C59" s="22" t="str">
        <x:v>L13</x:v>
      </x:c>
      <x:c r="D59" s="22" t="str">
        <x:v>P0059</x:v>
      </x:c>
      <x:c r="E59" s="22" t="str">
        <x:v>Q08</x:v>
      </x:c>
      <x:c r="F59" s="27" t="n">
        <x:v>13500</x:v>
      </x:c>
      <x:c r="G59" s="27" t="n">
        <x:v>13500</x:v>
      </x:c>
      <x:c r="H59" s="28" t="n">
        <x:v>1</x:v>
      </x:c>
      <x:c r="I59" s="29" t="n">
        <x:v>0.8</x:v>
      </x:c>
      <x:c r="J59" s="26" t="n">
        <x:v>0</x:v>
      </x:c>
      <x:c r="K59" s="26" t="n">
        <x:v>0</x:v>
      </x:c>
      <x:c r="L59" s="22" t="str">
        <x:v>字典序MILP-Q95</x:v>
      </x:c>
    </x:row>
    <x:row r="60" ht="20" customHeight="1">
      <x:c r="A60" s="22" t="str">
        <x:v>2025-03-04</x:v>
      </x:c>
      <x:c r="B60" s="22" t="str">
        <x:v>中班</x:v>
      </x:c>
      <x:c r="C60" s="22" t="str">
        <x:v>L14</x:v>
      </x:c>
      <x:c r="D60" s="22" t="str">
        <x:v>P0013</x:v>
      </x:c>
      <x:c r="E60" s="22" t="str">
        <x:v>Q03</x:v>
      </x:c>
      <x:c r="F60" s="27" t="n">
        <x:v>28000</x:v>
      </x:c>
      <x:c r="G60" s="27" t="n">
        <x:v>28000</x:v>
      </x:c>
      <x:c r="H60" s="28" t="n">
        <x:v>1</x:v>
      </x:c>
      <x:c r="I60" s="29" t="n">
        <x:v>0.741574</x:v>
      </x:c>
      <x:c r="J60" s="26" t="n">
        <x:v>0</x:v>
      </x:c>
      <x:c r="K60" s="26" t="n">
        <x:v>0</x:v>
      </x:c>
      <x:c r="L60" s="22" t="str">
        <x:v>字典序MILP-Q95</x:v>
      </x:c>
    </x:row>
    <x:row r="61" ht="20" customHeight="1">
      <x:c r="A61" s="22" t="str">
        <x:v>2025-03-05</x:v>
      </x:c>
      <x:c r="B61" s="22" t="str">
        <x:v>早班</x:v>
      </x:c>
      <x:c r="C61" s="22" t="str">
        <x:v>L01</x:v>
      </x:c>
      <x:c r="D61" s="22" t="str">
        <x:v>P0014</x:v>
      </x:c>
      <x:c r="E61" s="22" t="str">
        <x:v>Q03</x:v>
      </x:c>
      <x:c r="F61" s="27" t="n">
        <x:v>23000</x:v>
      </x:c>
      <x:c r="G61" s="27" t="n">
        <x:v>23000</x:v>
      </x:c>
      <x:c r="H61" s="28" t="n">
        <x:v>1</x:v>
      </x:c>
      <x:c r="I61" s="29" t="n">
        <x:v>0.353641</x:v>
      </x:c>
      <x:c r="J61" s="26" t="n">
        <x:v>0</x:v>
      </x:c>
      <x:c r="K61" s="26" t="n">
        <x:v>0</x:v>
      </x:c>
      <x:c r="L61" s="22" t="str">
        <x:v>字典序MILP-Q95</x:v>
      </x:c>
    </x:row>
    <x:row r="62" ht="20" customHeight="1">
      <x:c r="A62" s="22" t="str">
        <x:v>2025-03-05</x:v>
      </x:c>
      <x:c r="B62" s="22" t="str">
        <x:v>早班</x:v>
      </x:c>
      <x:c r="C62" s="22" t="str">
        <x:v>L02</x:v>
      </x:c>
      <x:c r="D62" s="22" t="str">
        <x:v>P0159</x:v>
      </x:c>
      <x:c r="E62" s="22" t="str">
        <x:v>Q03</x:v>
      </x:c>
      <x:c r="F62" s="27" t="n">
        <x:v>31998</x:v>
      </x:c>
      <x:c r="G62" s="27" t="n">
        <x:v>31998</x:v>
      </x:c>
      <x:c r="H62" s="28" t="n">
        <x:v>1</x:v>
      </x:c>
      <x:c r="I62" s="29" t="n">
        <x:v>0.4</x:v>
      </x:c>
      <x:c r="J62" s="26" t="n">
        <x:v>0</x:v>
      </x:c>
      <x:c r="K62" s="26" t="n">
        <x:v>0</x:v>
      </x:c>
      <x:c r="L62" s="22" t="str">
        <x:v>字典序MILP-Q95</x:v>
      </x:c>
    </x:row>
    <x:row r="63" ht="20" customHeight="1">
      <x:c r="A63" s="22" t="str">
        <x:v>2025-03-05</x:v>
      </x:c>
      <x:c r="B63" s="22" t="str">
        <x:v>早班</x:v>
      </x:c>
      <x:c r="C63" s="22" t="str">
        <x:v>L03</x:v>
      </x:c>
      <x:c r="D63" s="22" t="str">
        <x:v>P0070</x:v>
      </x:c>
      <x:c r="E63" s="22" t="str">
        <x:v>Q03</x:v>
      </x:c>
      <x:c r="F63" s="27" t="n">
        <x:v>42000</x:v>
      </x:c>
      <x:c r="G63" s="27" t="n">
        <x:v>42000</x:v>
      </x:c>
      <x:c r="H63" s="28" t="n">
        <x:v>1</x:v>
      </x:c>
      <x:c r="I63" s="29" t="n">
        <x:v>0.6</x:v>
      </x:c>
      <x:c r="J63" s="26" t="n">
        <x:v>0</x:v>
      </x:c>
      <x:c r="K63" s="26" t="n">
        <x:v>0</x:v>
      </x:c>
      <x:c r="L63" s="22" t="str">
        <x:v>字典序MILP-Q95</x:v>
      </x:c>
    </x:row>
    <x:row r="64" ht="20" customHeight="1">
      <x:c r="A64" s="22" t="str">
        <x:v>2025-03-05</x:v>
      </x:c>
      <x:c r="B64" s="22" t="str">
        <x:v>早班</x:v>
      </x:c>
      <x:c r="C64" s="22" t="str">
        <x:v>L04</x:v>
      </x:c>
      <x:c r="D64" s="22" t="str">
        <x:v>P0163</x:v>
      </x:c>
      <x:c r="E64" s="22" t="str">
        <x:v>Q06</x:v>
      </x:c>
      <x:c r="F64" s="27" t="n">
        <x:v>21500</x:v>
      </x:c>
      <x:c r="G64" s="27" t="n">
        <x:v>21500</x:v>
      </x:c>
      <x:c r="H64" s="28" t="n">
        <x:v>1</x:v>
      </x:c>
      <x:c r="I64" s="29" t="n">
        <x:v>1</x:v>
      </x:c>
      <x:c r="J64" s="26" t="n">
        <x:v>0</x:v>
      </x:c>
      <x:c r="K64" s="26" t="n">
        <x:v>0</x:v>
      </x:c>
      <x:c r="L64" s="22" t="str">
        <x:v>字典序MILP-Q95</x:v>
      </x:c>
    </x:row>
    <x:row r="65" ht="20" customHeight="1">
      <x:c r="A65" s="22" t="str">
        <x:v>2025-03-05</x:v>
      </x:c>
      <x:c r="B65" s="22" t="str">
        <x:v>早班</x:v>
      </x:c>
      <x:c r="C65" s="22" t="str">
        <x:v>L05</x:v>
      </x:c>
      <x:c r="D65" s="22" t="str"/>
      <x:c r="E65" s="22" t="str"/>
      <x:c r="F65" s="27" t="n">
        <x:v>0</x:v>
      </x:c>
      <x:c r="G65" s="27" t="n">
        <x:v>0</x:v>
      </x:c>
      <x:c r="H65" s="28" t="n">
        <x:v>0</x:v>
      </x:c>
      <x:c r="I65" s="29" t="n">
        <x:v>0</x:v>
      </x:c>
      <x:c r="J65" s="26" t="n">
        <x:v>0</x:v>
      </x:c>
      <x:c r="K65" s="26" t="n">
        <x:v>0</x:v>
      </x:c>
      <x:c r="L65" s="22" t="str">
        <x:v>字典序MILP-Q95</x:v>
      </x:c>
    </x:row>
    <x:row r="66" ht="20" customHeight="1">
      <x:c r="A66" s="22" t="str">
        <x:v>2025-03-05</x:v>
      </x:c>
      <x:c r="B66" s="22" t="str">
        <x:v>早班</x:v>
      </x:c>
      <x:c r="C66" s="22" t="str">
        <x:v>L06</x:v>
      </x:c>
      <x:c r="D66" s="22" t="str">
        <x:v>P0013</x:v>
      </x:c>
      <x:c r="E66" s="22" t="str">
        <x:v>Q03</x:v>
      </x:c>
      <x:c r="F66" s="27" t="n">
        <x:v>34000</x:v>
      </x:c>
      <x:c r="G66" s="27" t="n">
        <x:v>34000</x:v>
      </x:c>
      <x:c r="H66" s="28" t="n">
        <x:v>1</x:v>
      </x:c>
      <x:c r="I66" s="29" t="n">
        <x:v>0.884614</x:v>
      </x:c>
      <x:c r="J66" s="26" t="n">
        <x:v>0</x:v>
      </x:c>
      <x:c r="K66" s="26" t="n">
        <x:v>0</x:v>
      </x:c>
      <x:c r="L66" s="22" t="str">
        <x:v>字典序MILP-Q95</x:v>
      </x:c>
    </x:row>
    <x:row r="67" ht="20" customHeight="1">
      <x:c r="A67" s="22" t="str">
        <x:v>2025-03-05</x:v>
      </x:c>
      <x:c r="B67" s="22" t="str">
        <x:v>早班</x:v>
      </x:c>
      <x:c r="C67" s="22" t="str">
        <x:v>L07</x:v>
      </x:c>
      <x:c r="D67" s="22" t="str">
        <x:v>P0163</x:v>
      </x:c>
      <x:c r="E67" s="22" t="str">
        <x:v>Q06</x:v>
      </x:c>
      <x:c r="F67" s="27" t="n">
        <x:v>21500</x:v>
      </x:c>
      <x:c r="G67" s="27" t="n">
        <x:v>21500</x:v>
      </x:c>
      <x:c r="H67" s="28" t="n">
        <x:v>1</x:v>
      </x:c>
      <x:c r="I67" s="29" t="n">
        <x:v>0.6</x:v>
      </x:c>
      <x:c r="J67" s="26" t="n">
        <x:v>0</x:v>
      </x:c>
      <x:c r="K67" s="26" t="n">
        <x:v>0</x:v>
      </x:c>
      <x:c r="L67" s="22" t="str">
        <x:v>字典序MILP-Q95</x:v>
      </x:c>
    </x:row>
    <x:row r="68" ht="20" customHeight="1">
      <x:c r="A68" s="22" t="str">
        <x:v>2025-03-05</x:v>
      </x:c>
      <x:c r="B68" s="22" t="str">
        <x:v>早班</x:v>
      </x:c>
      <x:c r="C68" s="22" t="str">
        <x:v>L08</x:v>
      </x:c>
      <x:c r="D68" s="22" t="str">
        <x:v>P0004</x:v>
      </x:c>
      <x:c r="E68" s="22" t="str">
        <x:v>Q02</x:v>
      </x:c>
      <x:c r="F68" s="27" t="n">
        <x:v>35000</x:v>
      </x:c>
      <x:c r="G68" s="27" t="n">
        <x:v>35000</x:v>
      </x:c>
      <x:c r="H68" s="28" t="n">
        <x:v>1</x:v>
      </x:c>
      <x:c r="I68" s="29" t="n">
        <x:v>1</x:v>
      </x:c>
      <x:c r="J68" s="26" t="n">
        <x:v>0</x:v>
      </x:c>
      <x:c r="K68" s="26" t="n">
        <x:v>0</x:v>
      </x:c>
      <x:c r="L68" s="22" t="str">
        <x:v>字典序MILP-Q95</x:v>
      </x:c>
    </x:row>
    <x:row r="69" ht="20" customHeight="1">
      <x:c r="A69" s="22" t="str">
        <x:v>2025-03-05</x:v>
      </x:c>
      <x:c r="B69" s="22" t="str">
        <x:v>早班</x:v>
      </x:c>
      <x:c r="C69" s="22" t="str">
        <x:v>L09</x:v>
      </x:c>
      <x:c r="D69" s="22" t="str">
        <x:v>P0064</x:v>
      </x:c>
      <x:c r="E69" s="22" t="str">
        <x:v>Q12</x:v>
      </x:c>
      <x:c r="F69" s="27" t="n">
        <x:v>18849</x:v>
      </x:c>
      <x:c r="G69" s="27" t="n">
        <x:v>18849</x:v>
      </x:c>
      <x:c r="H69" s="28" t="n">
        <x:v>1</x:v>
      </x:c>
      <x:c r="I69" s="29" t="n">
        <x:v>0.8</x:v>
      </x:c>
      <x:c r="J69" s="26" t="n">
        <x:v>0</x:v>
      </x:c>
      <x:c r="K69" s="26" t="n">
        <x:v>0</x:v>
      </x:c>
      <x:c r="L69" s="22" t="str">
        <x:v>字典序MILP-Q95</x:v>
      </x:c>
    </x:row>
    <x:row r="70" ht="20" customHeight="1">
      <x:c r="A70" s="22" t="str">
        <x:v>2025-03-05</x:v>
      </x:c>
      <x:c r="B70" s="22" t="str">
        <x:v>早班</x:v>
      </x:c>
      <x:c r="C70" s="22" t="str">
        <x:v>L10</x:v>
      </x:c>
      <x:c r="D70" s="22" t="str">
        <x:v>P0014</x:v>
      </x:c>
      <x:c r="E70" s="22" t="str">
        <x:v>Q03</x:v>
      </x:c>
      <x:c r="F70" s="27" t="n">
        <x:v>110000</x:v>
      </x:c>
      <x:c r="G70" s="27" t="n">
        <x:v>110000</x:v>
      </x:c>
      <x:c r="H70" s="28" t="n">
        <x:v>1</x:v>
      </x:c>
      <x:c r="I70" s="29" t="n">
        <x:v>0.877029</x:v>
      </x:c>
      <x:c r="J70" s="26" t="n">
        <x:v>0</x:v>
      </x:c>
      <x:c r="K70" s="26" t="n">
        <x:v>0</x:v>
      </x:c>
      <x:c r="L70" s="22" t="str">
        <x:v>字典序MILP-Q95</x:v>
      </x:c>
    </x:row>
    <x:row r="71" ht="20" customHeight="1">
      <x:c r="A71" s="22" t="str">
        <x:v>2025-03-05</x:v>
      </x:c>
      <x:c r="B71" s="22" t="str">
        <x:v>早班</x:v>
      </x:c>
      <x:c r="C71" s="22" t="str">
        <x:v>L11</x:v>
      </x:c>
      <x:c r="D71" s="22" t="str">
        <x:v>P0043</x:v>
      </x:c>
      <x:c r="E71" s="22" t="str">
        <x:v>Q04</x:v>
      </x:c>
      <x:c r="F71" s="27" t="n">
        <x:v>35000</x:v>
      </x:c>
      <x:c r="G71" s="27" t="n">
        <x:v>35000</x:v>
      </x:c>
      <x:c r="H71" s="28" t="n">
        <x:v>1</x:v>
      </x:c>
      <x:c r="I71" s="29" t="n">
        <x:v>1</x:v>
      </x:c>
      <x:c r="J71" s="26" t="n">
        <x:v>0</x:v>
      </x:c>
      <x:c r="K71" s="26" t="n">
        <x:v>0</x:v>
      </x:c>
      <x:c r="L71" s="22" t="str">
        <x:v>字典序MILP-Q95</x:v>
      </x:c>
    </x:row>
    <x:row r="72" ht="20" customHeight="1">
      <x:c r="A72" s="22" t="str">
        <x:v>2025-03-05</x:v>
      </x:c>
      <x:c r="B72" s="22" t="str">
        <x:v>早班</x:v>
      </x:c>
      <x:c r="C72" s="22" t="str">
        <x:v>L12</x:v>
      </x:c>
      <x:c r="D72" s="22" t="str">
        <x:v>P0013</x:v>
      </x:c>
      <x:c r="E72" s="22" t="str">
        <x:v>Q03</x:v>
      </x:c>
      <x:c r="F72" s="27" t="n">
        <x:v>35000</x:v>
      </x:c>
      <x:c r="G72" s="27" t="n">
        <x:v>35000</x:v>
      </x:c>
      <x:c r="H72" s="28" t="n">
        <x:v>1</x:v>
      </x:c>
      <x:c r="I72" s="29" t="n">
        <x:v>0.695541</x:v>
      </x:c>
      <x:c r="J72" s="26" t="n">
        <x:v>0</x:v>
      </x:c>
      <x:c r="K72" s="26" t="n">
        <x:v>0</x:v>
      </x:c>
      <x:c r="L72" s="22" t="str">
        <x:v>字典序MILP-Q95</x:v>
      </x:c>
    </x:row>
    <x:row r="73" ht="20" customHeight="1">
      <x:c r="A73" s="22" t="str">
        <x:v>2025-03-05</x:v>
      </x:c>
      <x:c r="B73" s="22" t="str">
        <x:v>早班</x:v>
      </x:c>
      <x:c r="C73" s="22" t="str">
        <x:v>L13</x:v>
      </x:c>
      <x:c r="D73" s="22" t="str">
        <x:v>P0059</x:v>
      </x:c>
      <x:c r="E73" s="22" t="str">
        <x:v>Q08</x:v>
      </x:c>
      <x:c r="F73" s="27" t="n">
        <x:v>13500</x:v>
      </x:c>
      <x:c r="G73" s="27" t="n">
        <x:v>13500</x:v>
      </x:c>
      <x:c r="H73" s="28" t="n">
        <x:v>1</x:v>
      </x:c>
      <x:c r="I73" s="29" t="n">
        <x:v>0.8</x:v>
      </x:c>
      <x:c r="J73" s="26" t="n">
        <x:v>0</x:v>
      </x:c>
      <x:c r="K73" s="26" t="n">
        <x:v>0</x:v>
      </x:c>
      <x:c r="L73" s="22" t="str">
        <x:v>字典序MILP-Q95</x:v>
      </x:c>
    </x:row>
    <x:row r="74" ht="20" customHeight="1">
      <x:c r="A74" s="22" t="str">
        <x:v>2025-03-05</x:v>
      </x:c>
      <x:c r="B74" s="22" t="str">
        <x:v>早班</x:v>
      </x:c>
      <x:c r="C74" s="22" t="str">
        <x:v>L14</x:v>
      </x:c>
      <x:c r="D74" s="22" t="str">
        <x:v>P0013</x:v>
      </x:c>
      <x:c r="E74" s="22" t="str">
        <x:v>Q03</x:v>
      </x:c>
      <x:c r="F74" s="27" t="n">
        <x:v>28000</x:v>
      </x:c>
      <x:c r="G74" s="27" t="n">
        <x:v>28000</x:v>
      </x:c>
      <x:c r="H74" s="28" t="n">
        <x:v>1</x:v>
      </x:c>
      <x:c r="I74" s="29" t="n">
        <x:v>0.741574</x:v>
      </x:c>
      <x:c r="J74" s="26" t="n">
        <x:v>0</x:v>
      </x:c>
      <x:c r="K74" s="26" t="n">
        <x:v>0</x:v>
      </x:c>
      <x:c r="L74" s="22" t="str">
        <x:v>字典序MILP-Q95</x:v>
      </x:c>
    </x:row>
    <x:row r="75" ht="20" customHeight="1">
      <x:c r="A75" s="22" t="str">
        <x:v>2025-03-05</x:v>
      </x:c>
      <x:c r="B75" s="22" t="str">
        <x:v>中班</x:v>
      </x:c>
      <x:c r="C75" s="22" t="str">
        <x:v>L01</x:v>
      </x:c>
      <x:c r="D75" s="22" t="str">
        <x:v>P0014</x:v>
      </x:c>
      <x:c r="E75" s="22" t="str">
        <x:v>Q03</x:v>
      </x:c>
      <x:c r="F75" s="27" t="n">
        <x:v>23000</x:v>
      </x:c>
      <x:c r="G75" s="27" t="n">
        <x:v>23000</x:v>
      </x:c>
      <x:c r="H75" s="28" t="n">
        <x:v>1</x:v>
      </x:c>
      <x:c r="I75" s="29" t="n">
        <x:v>0.353641</x:v>
      </x:c>
      <x:c r="J75" s="26" t="n">
        <x:v>0</x:v>
      </x:c>
      <x:c r="K75" s="26" t="n">
        <x:v>0</x:v>
      </x:c>
      <x:c r="L75" s="22" t="str">
        <x:v>字典序MILP-Q95</x:v>
      </x:c>
    </x:row>
    <x:row r="76" ht="20" customHeight="1">
      <x:c r="A76" s="22" t="str">
        <x:v>2025-03-05</x:v>
      </x:c>
      <x:c r="B76" s="22" t="str">
        <x:v>中班</x:v>
      </x:c>
      <x:c r="C76" s="22" t="str">
        <x:v>L02</x:v>
      </x:c>
      <x:c r="D76" s="22" t="str">
        <x:v>P0159</x:v>
      </x:c>
      <x:c r="E76" s="22" t="str">
        <x:v>Q03</x:v>
      </x:c>
      <x:c r="F76" s="27" t="n">
        <x:v>31998</x:v>
      </x:c>
      <x:c r="G76" s="27" t="n">
        <x:v>31998</x:v>
      </x:c>
      <x:c r="H76" s="28" t="n">
        <x:v>1</x:v>
      </x:c>
      <x:c r="I76" s="29" t="n">
        <x:v>0.4</x:v>
      </x:c>
      <x:c r="J76" s="26" t="n">
        <x:v>0</x:v>
      </x:c>
      <x:c r="K76" s="26" t="n">
        <x:v>0</x:v>
      </x:c>
      <x:c r="L76" s="22" t="str">
        <x:v>字典序MILP-Q95</x:v>
      </x:c>
    </x:row>
    <x:row r="77" ht="20" customHeight="1">
      <x:c r="A77" s="22" t="str">
        <x:v>2025-03-05</x:v>
      </x:c>
      <x:c r="B77" s="22" t="str">
        <x:v>中班</x:v>
      </x:c>
      <x:c r="C77" s="22" t="str">
        <x:v>L03</x:v>
      </x:c>
      <x:c r="D77" s="22" t="str">
        <x:v>P0070</x:v>
      </x:c>
      <x:c r="E77" s="22" t="str">
        <x:v>Q03</x:v>
      </x:c>
      <x:c r="F77" s="27" t="n">
        <x:v>42000</x:v>
      </x:c>
      <x:c r="G77" s="27" t="n">
        <x:v>42000</x:v>
      </x:c>
      <x:c r="H77" s="28" t="n">
        <x:v>1</x:v>
      </x:c>
      <x:c r="I77" s="29" t="n">
        <x:v>0.6</x:v>
      </x:c>
      <x:c r="J77" s="26" t="n">
        <x:v>0</x:v>
      </x:c>
      <x:c r="K77" s="26" t="n">
        <x:v>0</x:v>
      </x:c>
      <x:c r="L77" s="22" t="str">
        <x:v>字典序MILP-Q95</x:v>
      </x:c>
    </x:row>
    <x:row r="78" ht="20" customHeight="1">
      <x:c r="A78" s="22" t="str">
        <x:v>2025-03-05</x:v>
      </x:c>
      <x:c r="B78" s="22" t="str">
        <x:v>中班</x:v>
      </x:c>
      <x:c r="C78" s="22" t="str">
        <x:v>L04</x:v>
      </x:c>
      <x:c r="D78" s="22" t="str">
        <x:v>P0163</x:v>
      </x:c>
      <x:c r="E78" s="22" t="str">
        <x:v>Q06</x:v>
      </x:c>
      <x:c r="F78" s="27" t="n">
        <x:v>21500</x:v>
      </x:c>
      <x:c r="G78" s="27" t="n">
        <x:v>21500</x:v>
      </x:c>
      <x:c r="H78" s="28" t="n">
        <x:v>1</x:v>
      </x:c>
      <x:c r="I78" s="29" t="n">
        <x:v>1</x:v>
      </x:c>
      <x:c r="J78" s="26" t="n">
        <x:v>0</x:v>
      </x:c>
      <x:c r="K78" s="26" t="n">
        <x:v>0</x:v>
      </x:c>
      <x:c r="L78" s="22" t="str">
        <x:v>字典序MILP-Q95</x:v>
      </x:c>
    </x:row>
    <x:row r="79" ht="20" customHeight="1">
      <x:c r="A79" s="22" t="str">
        <x:v>2025-03-05</x:v>
      </x:c>
      <x:c r="B79" s="22" t="str">
        <x:v>中班</x:v>
      </x:c>
      <x:c r="C79" s="22" t="str">
        <x:v>L05</x:v>
      </x:c>
      <x:c r="D79" s="22" t="str"/>
      <x:c r="E79" s="22" t="str"/>
      <x:c r="F79" s="27" t="n">
        <x:v>0</x:v>
      </x:c>
      <x:c r="G79" s="27" t="n">
        <x:v>0</x:v>
      </x:c>
      <x:c r="H79" s="28" t="n">
        <x:v>0</x:v>
      </x:c>
      <x:c r="I79" s="29" t="n">
        <x:v>0</x:v>
      </x:c>
      <x:c r="J79" s="26" t="n">
        <x:v>0</x:v>
      </x:c>
      <x:c r="K79" s="26" t="n">
        <x:v>0</x:v>
      </x:c>
      <x:c r="L79" s="22" t="str">
        <x:v>字典序MILP-Q95</x:v>
      </x:c>
    </x:row>
    <x:row r="80" ht="20" customHeight="1">
      <x:c r="A80" s="22" t="str">
        <x:v>2025-03-05</x:v>
      </x:c>
      <x:c r="B80" s="22" t="str">
        <x:v>中班</x:v>
      </x:c>
      <x:c r="C80" s="22" t="str">
        <x:v>L06</x:v>
      </x:c>
      <x:c r="D80" s="22" t="str">
        <x:v>P0013</x:v>
      </x:c>
      <x:c r="E80" s="22" t="str">
        <x:v>Q03</x:v>
      </x:c>
      <x:c r="F80" s="27" t="n">
        <x:v>34000</x:v>
      </x:c>
      <x:c r="G80" s="27" t="n">
        <x:v>34000</x:v>
      </x:c>
      <x:c r="H80" s="28" t="n">
        <x:v>1</x:v>
      </x:c>
      <x:c r="I80" s="29" t="n">
        <x:v>0.884614</x:v>
      </x:c>
      <x:c r="J80" s="26" t="n">
        <x:v>0</x:v>
      </x:c>
      <x:c r="K80" s="26" t="n">
        <x:v>0</x:v>
      </x:c>
      <x:c r="L80" s="22" t="str">
        <x:v>字典序MILP-Q95</x:v>
      </x:c>
    </x:row>
    <x:row r="81" ht="20" customHeight="1">
      <x:c r="A81" s="22" t="str">
        <x:v>2025-03-05</x:v>
      </x:c>
      <x:c r="B81" s="22" t="str">
        <x:v>中班</x:v>
      </x:c>
      <x:c r="C81" s="22" t="str">
        <x:v>L07</x:v>
      </x:c>
      <x:c r="D81" s="22" t="str">
        <x:v>P0163</x:v>
      </x:c>
      <x:c r="E81" s="22" t="str">
        <x:v>Q06</x:v>
      </x:c>
      <x:c r="F81" s="27" t="n">
        <x:v>21500</x:v>
      </x:c>
      <x:c r="G81" s="27" t="n">
        <x:v>21500</x:v>
      </x:c>
      <x:c r="H81" s="28" t="n">
        <x:v>1</x:v>
      </x:c>
      <x:c r="I81" s="29" t="n">
        <x:v>0.6</x:v>
      </x:c>
      <x:c r="J81" s="26" t="n">
        <x:v>0</x:v>
      </x:c>
      <x:c r="K81" s="26" t="n">
        <x:v>0</x:v>
      </x:c>
      <x:c r="L81" s="22" t="str">
        <x:v>字典序MILP-Q95</x:v>
      </x:c>
    </x:row>
    <x:row r="82" ht="20" customHeight="1">
      <x:c r="A82" s="22" t="str">
        <x:v>2025-03-05</x:v>
      </x:c>
      <x:c r="B82" s="22" t="str">
        <x:v>中班</x:v>
      </x:c>
      <x:c r="C82" s="22" t="str">
        <x:v>L08</x:v>
      </x:c>
      <x:c r="D82" s="22" t="str">
        <x:v>P0004</x:v>
      </x:c>
      <x:c r="E82" s="22" t="str">
        <x:v>Q02</x:v>
      </x:c>
      <x:c r="F82" s="27" t="n">
        <x:v>35000</x:v>
      </x:c>
      <x:c r="G82" s="27" t="n">
        <x:v>35000</x:v>
      </x:c>
      <x:c r="H82" s="28" t="n">
        <x:v>1</x:v>
      </x:c>
      <x:c r="I82" s="29" t="n">
        <x:v>1</x:v>
      </x:c>
      <x:c r="J82" s="26" t="n">
        <x:v>0</x:v>
      </x:c>
      <x:c r="K82" s="26" t="n">
        <x:v>0</x:v>
      </x:c>
      <x:c r="L82" s="22" t="str">
        <x:v>字典序MILP-Q95</x:v>
      </x:c>
    </x:row>
    <x:row r="83" ht="20" customHeight="1">
      <x:c r="A83" s="22" t="str">
        <x:v>2025-03-05</x:v>
      </x:c>
      <x:c r="B83" s="22" t="str">
        <x:v>中班</x:v>
      </x:c>
      <x:c r="C83" s="22" t="str">
        <x:v>L09</x:v>
      </x:c>
      <x:c r="D83" s="22" t="str">
        <x:v>P0064</x:v>
      </x:c>
      <x:c r="E83" s="22" t="str">
        <x:v>Q12</x:v>
      </x:c>
      <x:c r="F83" s="27" t="n">
        <x:v>18849</x:v>
      </x:c>
      <x:c r="G83" s="27" t="n">
        <x:v>18849</x:v>
      </x:c>
      <x:c r="H83" s="28" t="n">
        <x:v>1</x:v>
      </x:c>
      <x:c r="I83" s="29" t="n">
        <x:v>0.8</x:v>
      </x:c>
      <x:c r="J83" s="26" t="n">
        <x:v>0</x:v>
      </x:c>
      <x:c r="K83" s="26" t="n">
        <x:v>0</x:v>
      </x:c>
      <x:c r="L83" s="22" t="str">
        <x:v>字典序MILP-Q95</x:v>
      </x:c>
    </x:row>
    <x:row r="84" ht="20" customHeight="1">
      <x:c r="A84" s="22" t="str">
        <x:v>2025-03-05</x:v>
      </x:c>
      <x:c r="B84" s="22" t="str">
        <x:v>中班</x:v>
      </x:c>
      <x:c r="C84" s="22" t="str">
        <x:v>L10</x:v>
      </x:c>
      <x:c r="D84" s="22" t="str">
        <x:v>P0014</x:v>
      </x:c>
      <x:c r="E84" s="22" t="str">
        <x:v>Q03</x:v>
      </x:c>
      <x:c r="F84" s="27" t="n">
        <x:v>110000</x:v>
      </x:c>
      <x:c r="G84" s="27" t="n">
        <x:v>110000</x:v>
      </x:c>
      <x:c r="H84" s="28" t="n">
        <x:v>1</x:v>
      </x:c>
      <x:c r="I84" s="29" t="n">
        <x:v>0.877029</x:v>
      </x:c>
      <x:c r="J84" s="26" t="n">
        <x:v>0</x:v>
      </x:c>
      <x:c r="K84" s="26" t="n">
        <x:v>0</x:v>
      </x:c>
      <x:c r="L84" s="22" t="str">
        <x:v>字典序MILP-Q95</x:v>
      </x:c>
    </x:row>
    <x:row r="85" ht="20" customHeight="1">
      <x:c r="A85" s="22" t="str">
        <x:v>2025-03-05</x:v>
      </x:c>
      <x:c r="B85" s="22" t="str">
        <x:v>中班</x:v>
      </x:c>
      <x:c r="C85" s="22" t="str">
        <x:v>L11</x:v>
      </x:c>
      <x:c r="D85" s="22" t="str">
        <x:v>P0043</x:v>
      </x:c>
      <x:c r="E85" s="22" t="str">
        <x:v>Q04</x:v>
      </x:c>
      <x:c r="F85" s="27" t="n">
        <x:v>35000</x:v>
      </x:c>
      <x:c r="G85" s="27" t="n">
        <x:v>35000</x:v>
      </x:c>
      <x:c r="H85" s="28" t="n">
        <x:v>1</x:v>
      </x:c>
      <x:c r="I85" s="29" t="n">
        <x:v>1</x:v>
      </x:c>
      <x:c r="J85" s="26" t="n">
        <x:v>0</x:v>
      </x:c>
      <x:c r="K85" s="26" t="n">
        <x:v>0</x:v>
      </x:c>
      <x:c r="L85" s="22" t="str">
        <x:v>字典序MILP-Q95</x:v>
      </x:c>
    </x:row>
    <x:row r="86" ht="20" customHeight="1">
      <x:c r="A86" s="22" t="str">
        <x:v>2025-03-05</x:v>
      </x:c>
      <x:c r="B86" s="22" t="str">
        <x:v>中班</x:v>
      </x:c>
      <x:c r="C86" s="22" t="str">
        <x:v>L12</x:v>
      </x:c>
      <x:c r="D86" s="22" t="str">
        <x:v>P0013</x:v>
      </x:c>
      <x:c r="E86" s="22" t="str">
        <x:v>Q03</x:v>
      </x:c>
      <x:c r="F86" s="27" t="n">
        <x:v>35000</x:v>
      </x:c>
      <x:c r="G86" s="27" t="n">
        <x:v>35000</x:v>
      </x:c>
      <x:c r="H86" s="28" t="n">
        <x:v>1</x:v>
      </x:c>
      <x:c r="I86" s="29" t="n">
        <x:v>0.695541</x:v>
      </x:c>
      <x:c r="J86" s="26" t="n">
        <x:v>0</x:v>
      </x:c>
      <x:c r="K86" s="26" t="n">
        <x:v>0</x:v>
      </x:c>
      <x:c r="L86" s="22" t="str">
        <x:v>字典序MILP-Q95</x:v>
      </x:c>
    </x:row>
    <x:row r="87" ht="20" customHeight="1">
      <x:c r="A87" s="22" t="str">
        <x:v>2025-03-05</x:v>
      </x:c>
      <x:c r="B87" s="22" t="str">
        <x:v>中班</x:v>
      </x:c>
      <x:c r="C87" s="22" t="str">
        <x:v>L13</x:v>
      </x:c>
      <x:c r="D87" s="22" t="str">
        <x:v>P0059</x:v>
      </x:c>
      <x:c r="E87" s="22" t="str">
        <x:v>Q08</x:v>
      </x:c>
      <x:c r="F87" s="27" t="n">
        <x:v>13500</x:v>
      </x:c>
      <x:c r="G87" s="27" t="n">
        <x:v>13500</x:v>
      </x:c>
      <x:c r="H87" s="28" t="n">
        <x:v>1</x:v>
      </x:c>
      <x:c r="I87" s="29" t="n">
        <x:v>0.8</x:v>
      </x:c>
      <x:c r="J87" s="26" t="n">
        <x:v>0</x:v>
      </x:c>
      <x:c r="K87" s="26" t="n">
        <x:v>0</x:v>
      </x:c>
      <x:c r="L87" s="22" t="str">
        <x:v>字典序MILP-Q95</x:v>
      </x:c>
    </x:row>
    <x:row r="88" ht="20" customHeight="1">
      <x:c r="A88" s="22" t="str">
        <x:v>2025-03-05</x:v>
      </x:c>
      <x:c r="B88" s="22" t="str">
        <x:v>中班</x:v>
      </x:c>
      <x:c r="C88" s="22" t="str">
        <x:v>L14</x:v>
      </x:c>
      <x:c r="D88" s="22" t="str">
        <x:v>P0013</x:v>
      </x:c>
      <x:c r="E88" s="22" t="str">
        <x:v>Q03</x:v>
      </x:c>
      <x:c r="F88" s="27" t="n">
        <x:v>28000</x:v>
      </x:c>
      <x:c r="G88" s="27" t="n">
        <x:v>28000</x:v>
      </x:c>
      <x:c r="H88" s="28" t="n">
        <x:v>1</x:v>
      </x:c>
      <x:c r="I88" s="29" t="n">
        <x:v>0.741574</x:v>
      </x:c>
      <x:c r="J88" s="26" t="n">
        <x:v>0</x:v>
      </x:c>
      <x:c r="K88" s="26" t="n">
        <x:v>0</x:v>
      </x:c>
      <x:c r="L88" s="22" t="str">
        <x:v>字典序MILP-Q95</x:v>
      </x:c>
    </x:row>
    <x:row r="89" ht="20" customHeight="1">
      <x:c r="A89" s="22" t="str">
        <x:v>2025-03-06</x:v>
      </x:c>
      <x:c r="B89" s="22" t="str">
        <x:v>早班</x:v>
      </x:c>
      <x:c r="C89" s="22" t="str">
        <x:v>L01</x:v>
      </x:c>
      <x:c r="D89" s="22" t="str">
        <x:v>P0014</x:v>
      </x:c>
      <x:c r="E89" s="22" t="str">
        <x:v>Q03</x:v>
      </x:c>
      <x:c r="F89" s="27" t="n">
        <x:v>23000</x:v>
      </x:c>
      <x:c r="G89" s="27" t="n">
        <x:v>23000</x:v>
      </x:c>
      <x:c r="H89" s="28" t="n">
        <x:v>1</x:v>
      </x:c>
      <x:c r="I89" s="29" t="n">
        <x:v>0.353641</x:v>
      </x:c>
      <x:c r="J89" s="26" t="n">
        <x:v>0</x:v>
      </x:c>
      <x:c r="K89" s="26" t="n">
        <x:v>0</x:v>
      </x:c>
      <x:c r="L89" s="22" t="str">
        <x:v>字典序MILP-Q95</x:v>
      </x:c>
    </x:row>
    <x:row r="90" ht="20" customHeight="1">
      <x:c r="A90" s="22" t="str">
        <x:v>2025-03-06</x:v>
      </x:c>
      <x:c r="B90" s="22" t="str">
        <x:v>早班</x:v>
      </x:c>
      <x:c r="C90" s="22" t="str">
        <x:v>L02</x:v>
      </x:c>
      <x:c r="D90" s="22" t="str">
        <x:v>P0159</x:v>
      </x:c>
      <x:c r="E90" s="22" t="str">
        <x:v>Q03</x:v>
      </x:c>
      <x:c r="F90" s="27" t="n">
        <x:v>31998</x:v>
      </x:c>
      <x:c r="G90" s="27" t="n">
        <x:v>31998</x:v>
      </x:c>
      <x:c r="H90" s="28" t="n">
        <x:v>1</x:v>
      </x:c>
      <x:c r="I90" s="29" t="n">
        <x:v>0.4</x:v>
      </x:c>
      <x:c r="J90" s="26" t="n">
        <x:v>0</x:v>
      </x:c>
      <x:c r="K90" s="26" t="n">
        <x:v>0</x:v>
      </x:c>
      <x:c r="L90" s="22" t="str">
        <x:v>字典序MILP-Q95</x:v>
      </x:c>
    </x:row>
    <x:row r="91" ht="20" customHeight="1">
      <x:c r="A91" s="22" t="str">
        <x:v>2025-03-06</x:v>
      </x:c>
      <x:c r="B91" s="22" t="str">
        <x:v>早班</x:v>
      </x:c>
      <x:c r="C91" s="22" t="str">
        <x:v>L03</x:v>
      </x:c>
      <x:c r="D91" s="22" t="str">
        <x:v>P0070</x:v>
      </x:c>
      <x:c r="E91" s="22" t="str">
        <x:v>Q03</x:v>
      </x:c>
      <x:c r="F91" s="27" t="n">
        <x:v>42000</x:v>
      </x:c>
      <x:c r="G91" s="27" t="n">
        <x:v>42000</x:v>
      </x:c>
      <x:c r="H91" s="28" t="n">
        <x:v>1</x:v>
      </x:c>
      <x:c r="I91" s="29" t="n">
        <x:v>0.6</x:v>
      </x:c>
      <x:c r="J91" s="26" t="n">
        <x:v>0</x:v>
      </x:c>
      <x:c r="K91" s="26" t="n">
        <x:v>0</x:v>
      </x:c>
      <x:c r="L91" s="22" t="str">
        <x:v>字典序MILP-Q95</x:v>
      </x:c>
    </x:row>
    <x:row r="92" ht="20" customHeight="1">
      <x:c r="A92" s="22" t="str">
        <x:v>2025-03-06</x:v>
      </x:c>
      <x:c r="B92" s="22" t="str">
        <x:v>早班</x:v>
      </x:c>
      <x:c r="C92" s="22" t="str">
        <x:v>L04</x:v>
      </x:c>
      <x:c r="D92" s="22" t="str">
        <x:v>P0163</x:v>
      </x:c>
      <x:c r="E92" s="22" t="str">
        <x:v>Q06</x:v>
      </x:c>
      <x:c r="F92" s="27" t="n">
        <x:v>21500</x:v>
      </x:c>
      <x:c r="G92" s="27" t="n">
        <x:v>21500</x:v>
      </x:c>
      <x:c r="H92" s="28" t="n">
        <x:v>1</x:v>
      </x:c>
      <x:c r="I92" s="29" t="n">
        <x:v>1</x:v>
      </x:c>
      <x:c r="J92" s="26" t="n">
        <x:v>0</x:v>
      </x:c>
      <x:c r="K92" s="26" t="n">
        <x:v>0</x:v>
      </x:c>
      <x:c r="L92" s="22" t="str">
        <x:v>字典序MILP-Q95</x:v>
      </x:c>
    </x:row>
    <x:row r="93" ht="20" customHeight="1">
      <x:c r="A93" s="22" t="str">
        <x:v>2025-03-06</x:v>
      </x:c>
      <x:c r="B93" s="22" t="str">
        <x:v>早班</x:v>
      </x:c>
      <x:c r="C93" s="22" t="str">
        <x:v>L05</x:v>
      </x:c>
      <x:c r="D93" s="22" t="str"/>
      <x:c r="E93" s="22" t="str"/>
      <x:c r="F93" s="27" t="n">
        <x:v>0</x:v>
      </x:c>
      <x:c r="G93" s="27" t="n">
        <x:v>0</x:v>
      </x:c>
      <x:c r="H93" s="28" t="n">
        <x:v>0</x:v>
      </x:c>
      <x:c r="I93" s="29" t="n">
        <x:v>0</x:v>
      </x:c>
      <x:c r="J93" s="26" t="n">
        <x:v>0</x:v>
      </x:c>
      <x:c r="K93" s="26" t="n">
        <x:v>0</x:v>
      </x:c>
      <x:c r="L93" s="22" t="str">
        <x:v>字典序MILP-Q95</x:v>
      </x:c>
    </x:row>
    <x:row r="94" ht="20" customHeight="1">
      <x:c r="A94" s="22" t="str">
        <x:v>2025-03-06</x:v>
      </x:c>
      <x:c r="B94" s="22" t="str">
        <x:v>早班</x:v>
      </x:c>
      <x:c r="C94" s="22" t="str">
        <x:v>L06</x:v>
      </x:c>
      <x:c r="D94" s="22" t="str">
        <x:v>P0013</x:v>
      </x:c>
      <x:c r="E94" s="22" t="str">
        <x:v>Q03</x:v>
      </x:c>
      <x:c r="F94" s="27" t="n">
        <x:v>34000</x:v>
      </x:c>
      <x:c r="G94" s="27" t="n">
        <x:v>34000</x:v>
      </x:c>
      <x:c r="H94" s="28" t="n">
        <x:v>1</x:v>
      </x:c>
      <x:c r="I94" s="29" t="n">
        <x:v>0.884614</x:v>
      </x:c>
      <x:c r="J94" s="26" t="n">
        <x:v>0</x:v>
      </x:c>
      <x:c r="K94" s="26" t="n">
        <x:v>0</x:v>
      </x:c>
      <x:c r="L94" s="22" t="str">
        <x:v>字典序MILP-Q95</x:v>
      </x:c>
    </x:row>
    <x:row r="95" ht="20" customHeight="1">
      <x:c r="A95" s="22" t="str">
        <x:v>2025-03-06</x:v>
      </x:c>
      <x:c r="B95" s="22" t="str">
        <x:v>早班</x:v>
      </x:c>
      <x:c r="C95" s="22" t="str">
        <x:v>L07</x:v>
      </x:c>
      <x:c r="D95" s="22" t="str">
        <x:v>P0163</x:v>
      </x:c>
      <x:c r="E95" s="22" t="str">
        <x:v>Q06</x:v>
      </x:c>
      <x:c r="F95" s="27" t="n">
        <x:v>21500</x:v>
      </x:c>
      <x:c r="G95" s="27" t="n">
        <x:v>21500</x:v>
      </x:c>
      <x:c r="H95" s="28" t="n">
        <x:v>1</x:v>
      </x:c>
      <x:c r="I95" s="29" t="n">
        <x:v>0.6</x:v>
      </x:c>
      <x:c r="J95" s="26" t="n">
        <x:v>0</x:v>
      </x:c>
      <x:c r="K95" s="26" t="n">
        <x:v>0</x:v>
      </x:c>
      <x:c r="L95" s="22" t="str">
        <x:v>字典序MILP-Q95</x:v>
      </x:c>
    </x:row>
    <x:row r="96" ht="20" customHeight="1">
      <x:c r="A96" s="22" t="str">
        <x:v>2025-03-06</x:v>
      </x:c>
      <x:c r="B96" s="22" t="str">
        <x:v>早班</x:v>
      </x:c>
      <x:c r="C96" s="22" t="str">
        <x:v>L08</x:v>
      </x:c>
      <x:c r="D96" s="22" t="str">
        <x:v>P0004</x:v>
      </x:c>
      <x:c r="E96" s="22" t="str">
        <x:v>Q02</x:v>
      </x:c>
      <x:c r="F96" s="27" t="n">
        <x:v>35000</x:v>
      </x:c>
      <x:c r="G96" s="27" t="n">
        <x:v>35000</x:v>
      </x:c>
      <x:c r="H96" s="28" t="n">
        <x:v>1</x:v>
      </x:c>
      <x:c r="I96" s="29" t="n">
        <x:v>1</x:v>
      </x:c>
      <x:c r="J96" s="26" t="n">
        <x:v>0</x:v>
      </x:c>
      <x:c r="K96" s="26" t="n">
        <x:v>0</x:v>
      </x:c>
      <x:c r="L96" s="22" t="str">
        <x:v>字典序MILP-Q95</x:v>
      </x:c>
    </x:row>
    <x:row r="97" ht="20" customHeight="1">
      <x:c r="A97" s="22" t="str">
        <x:v>2025-03-06</x:v>
      </x:c>
      <x:c r="B97" s="22" t="str">
        <x:v>早班</x:v>
      </x:c>
      <x:c r="C97" s="22" t="str">
        <x:v>L09</x:v>
      </x:c>
      <x:c r="D97" s="22" t="str">
        <x:v>P0064</x:v>
      </x:c>
      <x:c r="E97" s="22" t="str">
        <x:v>Q12</x:v>
      </x:c>
      <x:c r="F97" s="27" t="n">
        <x:v>18849</x:v>
      </x:c>
      <x:c r="G97" s="27" t="n">
        <x:v>18849</x:v>
      </x:c>
      <x:c r="H97" s="28" t="n">
        <x:v>1</x:v>
      </x:c>
      <x:c r="I97" s="29" t="n">
        <x:v>0.8</x:v>
      </x:c>
      <x:c r="J97" s="26" t="n">
        <x:v>0</x:v>
      </x:c>
      <x:c r="K97" s="26" t="n">
        <x:v>0</x:v>
      </x:c>
      <x:c r="L97" s="22" t="str">
        <x:v>字典序MILP-Q95</x:v>
      </x:c>
    </x:row>
    <x:row r="98" ht="20" customHeight="1">
      <x:c r="A98" s="22" t="str">
        <x:v>2025-03-06</x:v>
      </x:c>
      <x:c r="B98" s="22" t="str">
        <x:v>早班</x:v>
      </x:c>
      <x:c r="C98" s="22" t="str">
        <x:v>L10</x:v>
      </x:c>
      <x:c r="D98" s="22" t="str">
        <x:v>P0014</x:v>
      </x:c>
      <x:c r="E98" s="22" t="str">
        <x:v>Q03</x:v>
      </x:c>
      <x:c r="F98" s="27" t="n">
        <x:v>110000</x:v>
      </x:c>
      <x:c r="G98" s="27" t="n">
        <x:v>110000</x:v>
      </x:c>
      <x:c r="H98" s="28" t="n">
        <x:v>1</x:v>
      </x:c>
      <x:c r="I98" s="29" t="n">
        <x:v>0.877029</x:v>
      </x:c>
      <x:c r="J98" s="26" t="n">
        <x:v>0</x:v>
      </x:c>
      <x:c r="K98" s="26" t="n">
        <x:v>0</x:v>
      </x:c>
      <x:c r="L98" s="22" t="str">
        <x:v>字典序MILP-Q95</x:v>
      </x:c>
    </x:row>
    <x:row r="99" ht="20" customHeight="1">
      <x:c r="A99" s="22" t="str">
        <x:v>2025-03-06</x:v>
      </x:c>
      <x:c r="B99" s="22" t="str">
        <x:v>早班</x:v>
      </x:c>
      <x:c r="C99" s="22" t="str">
        <x:v>L11</x:v>
      </x:c>
      <x:c r="D99" s="22" t="str">
        <x:v>P0043</x:v>
      </x:c>
      <x:c r="E99" s="22" t="str">
        <x:v>Q04</x:v>
      </x:c>
      <x:c r="F99" s="27" t="n">
        <x:v>35000</x:v>
      </x:c>
      <x:c r="G99" s="27" t="n">
        <x:v>35000</x:v>
      </x:c>
      <x:c r="H99" s="28" t="n">
        <x:v>1</x:v>
      </x:c>
      <x:c r="I99" s="29" t="n">
        <x:v>1</x:v>
      </x:c>
      <x:c r="J99" s="26" t="n">
        <x:v>0</x:v>
      </x:c>
      <x:c r="K99" s="26" t="n">
        <x:v>0</x:v>
      </x:c>
      <x:c r="L99" s="22" t="str">
        <x:v>字典序MILP-Q95</x:v>
      </x:c>
    </x:row>
    <x:row r="100" ht="20" customHeight="1">
      <x:c r="A100" s="22" t="str">
        <x:v>2025-03-06</x:v>
      </x:c>
      <x:c r="B100" s="22" t="str">
        <x:v>早班</x:v>
      </x:c>
      <x:c r="C100" s="22" t="str">
        <x:v>L12</x:v>
      </x:c>
      <x:c r="D100" s="22" t="str">
        <x:v>P0013</x:v>
      </x:c>
      <x:c r="E100" s="22" t="str">
        <x:v>Q03</x:v>
      </x:c>
      <x:c r="F100" s="27" t="n">
        <x:v>35000</x:v>
      </x:c>
      <x:c r="G100" s="27" t="n">
        <x:v>35000</x:v>
      </x:c>
      <x:c r="H100" s="28" t="n">
        <x:v>1</x:v>
      </x:c>
      <x:c r="I100" s="29" t="n">
        <x:v>0.695541</x:v>
      </x:c>
      <x:c r="J100" s="26" t="n">
        <x:v>0</x:v>
      </x:c>
      <x:c r="K100" s="26" t="n">
        <x:v>0</x:v>
      </x:c>
      <x:c r="L100" s="22" t="str">
        <x:v>字典序MILP-Q95</x:v>
      </x:c>
    </x:row>
    <x:row r="101" ht="20" customHeight="1">
      <x:c r="A101" s="22" t="str">
        <x:v>2025-03-06</x:v>
      </x:c>
      <x:c r="B101" s="22" t="str">
        <x:v>早班</x:v>
      </x:c>
      <x:c r="C101" s="22" t="str">
        <x:v>L13</x:v>
      </x:c>
      <x:c r="D101" s="22" t="str">
        <x:v>P0059</x:v>
      </x:c>
      <x:c r="E101" s="22" t="str">
        <x:v>Q08</x:v>
      </x:c>
      <x:c r="F101" s="27" t="n">
        <x:v>13500</x:v>
      </x:c>
      <x:c r="G101" s="27" t="n">
        <x:v>13500</x:v>
      </x:c>
      <x:c r="H101" s="28" t="n">
        <x:v>1</x:v>
      </x:c>
      <x:c r="I101" s="29" t="n">
        <x:v>0.8</x:v>
      </x:c>
      <x:c r="J101" s="26" t="n">
        <x:v>0</x:v>
      </x:c>
      <x:c r="K101" s="26" t="n">
        <x:v>0</x:v>
      </x:c>
      <x:c r="L101" s="22" t="str">
        <x:v>字典序MILP-Q95</x:v>
      </x:c>
    </x:row>
    <x:row r="102" ht="20" customHeight="1">
      <x:c r="A102" s="22" t="str">
        <x:v>2025-03-06</x:v>
      </x:c>
      <x:c r="B102" s="22" t="str">
        <x:v>早班</x:v>
      </x:c>
      <x:c r="C102" s="22" t="str">
        <x:v>L14</x:v>
      </x:c>
      <x:c r="D102" s="22" t="str">
        <x:v>P0013</x:v>
      </x:c>
      <x:c r="E102" s="22" t="str">
        <x:v>Q03</x:v>
      </x:c>
      <x:c r="F102" s="27" t="n">
        <x:v>28000</x:v>
      </x:c>
      <x:c r="G102" s="27" t="n">
        <x:v>28000</x:v>
      </x:c>
      <x:c r="H102" s="28" t="n">
        <x:v>1</x:v>
      </x:c>
      <x:c r="I102" s="29" t="n">
        <x:v>0.741574</x:v>
      </x:c>
      <x:c r="J102" s="26" t="n">
        <x:v>0</x:v>
      </x:c>
      <x:c r="K102" s="26" t="n">
        <x:v>0</x:v>
      </x:c>
      <x:c r="L102" s="22" t="str">
        <x:v>字典序MILP-Q95</x:v>
      </x:c>
    </x:row>
    <x:row r="103" ht="20" customHeight="1">
      <x:c r="A103" s="22" t="str">
        <x:v>2025-03-06</x:v>
      </x:c>
      <x:c r="B103" s="22" t="str">
        <x:v>中班</x:v>
      </x:c>
      <x:c r="C103" s="22" t="str">
        <x:v>L01</x:v>
      </x:c>
      <x:c r="D103" s="22" t="str">
        <x:v>P0014</x:v>
      </x:c>
      <x:c r="E103" s="22" t="str">
        <x:v>Q03</x:v>
      </x:c>
      <x:c r="F103" s="27" t="n">
        <x:v>23000</x:v>
      </x:c>
      <x:c r="G103" s="27" t="n">
        <x:v>23000</x:v>
      </x:c>
      <x:c r="H103" s="28" t="n">
        <x:v>1</x:v>
      </x:c>
      <x:c r="I103" s="29" t="n">
        <x:v>0.353641</x:v>
      </x:c>
      <x:c r="J103" s="26" t="n">
        <x:v>0</x:v>
      </x:c>
      <x:c r="K103" s="26" t="n">
        <x:v>0</x:v>
      </x:c>
      <x:c r="L103" s="22" t="str">
        <x:v>字典序MILP-Q95</x:v>
      </x:c>
    </x:row>
    <x:row r="104" ht="20" customHeight="1">
      <x:c r="A104" s="22" t="str">
        <x:v>2025-03-06</x:v>
      </x:c>
      <x:c r="B104" s="22" t="str">
        <x:v>中班</x:v>
      </x:c>
      <x:c r="C104" s="22" t="str">
        <x:v>L02</x:v>
      </x:c>
      <x:c r="D104" s="22" t="str">
        <x:v>P0159</x:v>
      </x:c>
      <x:c r="E104" s="22" t="str">
        <x:v>Q03</x:v>
      </x:c>
      <x:c r="F104" s="27" t="n">
        <x:v>31998</x:v>
      </x:c>
      <x:c r="G104" s="27" t="n">
        <x:v>31998</x:v>
      </x:c>
      <x:c r="H104" s="28" t="n">
        <x:v>1</x:v>
      </x:c>
      <x:c r="I104" s="29" t="n">
        <x:v>0.4</x:v>
      </x:c>
      <x:c r="J104" s="26" t="n">
        <x:v>0</x:v>
      </x:c>
      <x:c r="K104" s="26" t="n">
        <x:v>0</x:v>
      </x:c>
      <x:c r="L104" s="22" t="str">
        <x:v>字典序MILP-Q95</x:v>
      </x:c>
    </x:row>
    <x:row r="105" ht="20" customHeight="1">
      <x:c r="A105" s="22" t="str">
        <x:v>2025-03-06</x:v>
      </x:c>
      <x:c r="B105" s="22" t="str">
        <x:v>中班</x:v>
      </x:c>
      <x:c r="C105" s="22" t="str">
        <x:v>L03</x:v>
      </x:c>
      <x:c r="D105" s="22" t="str">
        <x:v>P0070</x:v>
      </x:c>
      <x:c r="E105" s="22" t="str">
        <x:v>Q03</x:v>
      </x:c>
      <x:c r="F105" s="27" t="n">
        <x:v>42000</x:v>
      </x:c>
      <x:c r="G105" s="27" t="n">
        <x:v>42000</x:v>
      </x:c>
      <x:c r="H105" s="28" t="n">
        <x:v>1</x:v>
      </x:c>
      <x:c r="I105" s="29" t="n">
        <x:v>0.6</x:v>
      </x:c>
      <x:c r="J105" s="26" t="n">
        <x:v>0</x:v>
      </x:c>
      <x:c r="K105" s="26" t="n">
        <x:v>0</x:v>
      </x:c>
      <x:c r="L105" s="22" t="str">
        <x:v>字典序MILP-Q95</x:v>
      </x:c>
    </x:row>
    <x:row r="106" ht="20" customHeight="1">
      <x:c r="A106" s="22" t="str">
        <x:v>2025-03-06</x:v>
      </x:c>
      <x:c r="B106" s="22" t="str">
        <x:v>中班</x:v>
      </x:c>
      <x:c r="C106" s="22" t="str">
        <x:v>L04</x:v>
      </x:c>
      <x:c r="D106" s="22" t="str">
        <x:v>P0163</x:v>
      </x:c>
      <x:c r="E106" s="22" t="str">
        <x:v>Q06</x:v>
      </x:c>
      <x:c r="F106" s="27" t="n">
        <x:v>21500</x:v>
      </x:c>
      <x:c r="G106" s="27" t="n">
        <x:v>21500</x:v>
      </x:c>
      <x:c r="H106" s="28" t="n">
        <x:v>1</x:v>
      </x:c>
      <x:c r="I106" s="29" t="n">
        <x:v>1</x:v>
      </x:c>
      <x:c r="J106" s="26" t="n">
        <x:v>0</x:v>
      </x:c>
      <x:c r="K106" s="26" t="n">
        <x:v>0</x:v>
      </x:c>
      <x:c r="L106" s="22" t="str">
        <x:v>字典序MILP-Q95</x:v>
      </x:c>
    </x:row>
    <x:row r="107" ht="20" customHeight="1">
      <x:c r="A107" s="22" t="str">
        <x:v>2025-03-06</x:v>
      </x:c>
      <x:c r="B107" s="22" t="str">
        <x:v>中班</x:v>
      </x:c>
      <x:c r="C107" s="22" t="str">
        <x:v>L05</x:v>
      </x:c>
      <x:c r="D107" s="22" t="str"/>
      <x:c r="E107" s="22" t="str"/>
      <x:c r="F107" s="27" t="n">
        <x:v>0</x:v>
      </x:c>
      <x:c r="G107" s="27" t="n">
        <x:v>0</x:v>
      </x:c>
      <x:c r="H107" s="28" t="n">
        <x:v>0</x:v>
      </x:c>
      <x:c r="I107" s="29" t="n">
        <x:v>0</x:v>
      </x:c>
      <x:c r="J107" s="26" t="n">
        <x:v>0</x:v>
      </x:c>
      <x:c r="K107" s="26" t="n">
        <x:v>0</x:v>
      </x:c>
      <x:c r="L107" s="22" t="str">
        <x:v>字典序MILP-Q95</x:v>
      </x:c>
    </x:row>
    <x:row r="108" ht="20" customHeight="1">
      <x:c r="A108" s="22" t="str">
        <x:v>2025-03-06</x:v>
      </x:c>
      <x:c r="B108" s="22" t="str">
        <x:v>中班</x:v>
      </x:c>
      <x:c r="C108" s="22" t="str">
        <x:v>L06</x:v>
      </x:c>
      <x:c r="D108" s="22" t="str">
        <x:v>P0013</x:v>
      </x:c>
      <x:c r="E108" s="22" t="str">
        <x:v>Q03</x:v>
      </x:c>
      <x:c r="F108" s="27" t="n">
        <x:v>34000</x:v>
      </x:c>
      <x:c r="G108" s="27" t="n">
        <x:v>34000</x:v>
      </x:c>
      <x:c r="H108" s="28" t="n">
        <x:v>1</x:v>
      </x:c>
      <x:c r="I108" s="29" t="n">
        <x:v>0.884614</x:v>
      </x:c>
      <x:c r="J108" s="26" t="n">
        <x:v>0</x:v>
      </x:c>
      <x:c r="K108" s="26" t="n">
        <x:v>0</x:v>
      </x:c>
      <x:c r="L108" s="22" t="str">
        <x:v>字典序MILP-Q95</x:v>
      </x:c>
    </x:row>
    <x:row r="109" ht="20" customHeight="1">
      <x:c r="A109" s="22" t="str">
        <x:v>2025-03-06</x:v>
      </x:c>
      <x:c r="B109" s="22" t="str">
        <x:v>中班</x:v>
      </x:c>
      <x:c r="C109" s="22" t="str">
        <x:v>L07</x:v>
      </x:c>
      <x:c r="D109" s="22" t="str">
        <x:v>P0163</x:v>
      </x:c>
      <x:c r="E109" s="22" t="str">
        <x:v>Q06</x:v>
      </x:c>
      <x:c r="F109" s="27" t="n">
        <x:v>21500</x:v>
      </x:c>
      <x:c r="G109" s="27" t="n">
        <x:v>21500</x:v>
      </x:c>
      <x:c r="H109" s="28" t="n">
        <x:v>1</x:v>
      </x:c>
      <x:c r="I109" s="29" t="n">
        <x:v>0.6</x:v>
      </x:c>
      <x:c r="J109" s="26" t="n">
        <x:v>0</x:v>
      </x:c>
      <x:c r="K109" s="26" t="n">
        <x:v>0</x:v>
      </x:c>
      <x:c r="L109" s="22" t="str">
        <x:v>字典序MILP-Q95</x:v>
      </x:c>
    </x:row>
    <x:row r="110" ht="20" customHeight="1">
      <x:c r="A110" s="22" t="str">
        <x:v>2025-03-06</x:v>
      </x:c>
      <x:c r="B110" s="22" t="str">
        <x:v>中班</x:v>
      </x:c>
      <x:c r="C110" s="22" t="str">
        <x:v>L08</x:v>
      </x:c>
      <x:c r="D110" s="22" t="str">
        <x:v>P0004</x:v>
      </x:c>
      <x:c r="E110" s="22" t="str">
        <x:v>Q02</x:v>
      </x:c>
      <x:c r="F110" s="27" t="n">
        <x:v>35000</x:v>
      </x:c>
      <x:c r="G110" s="27" t="n">
        <x:v>35000</x:v>
      </x:c>
      <x:c r="H110" s="28" t="n">
        <x:v>1</x:v>
      </x:c>
      <x:c r="I110" s="29" t="n">
        <x:v>1</x:v>
      </x:c>
      <x:c r="J110" s="26" t="n">
        <x:v>0</x:v>
      </x:c>
      <x:c r="K110" s="26" t="n">
        <x:v>0</x:v>
      </x:c>
      <x:c r="L110" s="22" t="str">
        <x:v>字典序MILP-Q95</x:v>
      </x:c>
    </x:row>
    <x:row r="111" ht="20" customHeight="1">
      <x:c r="A111" s="22" t="str">
        <x:v>2025-03-06</x:v>
      </x:c>
      <x:c r="B111" s="22" t="str">
        <x:v>中班</x:v>
      </x:c>
      <x:c r="C111" s="22" t="str">
        <x:v>L09</x:v>
      </x:c>
      <x:c r="D111" s="22" t="str">
        <x:v>P0064</x:v>
      </x:c>
      <x:c r="E111" s="22" t="str">
        <x:v>Q12</x:v>
      </x:c>
      <x:c r="F111" s="27" t="n">
        <x:v>18849</x:v>
      </x:c>
      <x:c r="G111" s="27" t="n">
        <x:v>18849</x:v>
      </x:c>
      <x:c r="H111" s="28" t="n">
        <x:v>1</x:v>
      </x:c>
      <x:c r="I111" s="29" t="n">
        <x:v>0.8</x:v>
      </x:c>
      <x:c r="J111" s="26" t="n">
        <x:v>0</x:v>
      </x:c>
      <x:c r="K111" s="26" t="n">
        <x:v>0</x:v>
      </x:c>
      <x:c r="L111" s="22" t="str">
        <x:v>字典序MILP-Q95</x:v>
      </x:c>
    </x:row>
    <x:row r="112" ht="20" customHeight="1">
      <x:c r="A112" s="22" t="str">
        <x:v>2025-03-06</x:v>
      </x:c>
      <x:c r="B112" s="22" t="str">
        <x:v>中班</x:v>
      </x:c>
      <x:c r="C112" s="22" t="str">
        <x:v>L10</x:v>
      </x:c>
      <x:c r="D112" s="22" t="str">
        <x:v>P0014</x:v>
      </x:c>
      <x:c r="E112" s="22" t="str">
        <x:v>Q03</x:v>
      </x:c>
      <x:c r="F112" s="27" t="n">
        <x:v>110000</x:v>
      </x:c>
      <x:c r="G112" s="27" t="n">
        <x:v>110000</x:v>
      </x:c>
      <x:c r="H112" s="28" t="n">
        <x:v>1</x:v>
      </x:c>
      <x:c r="I112" s="29" t="n">
        <x:v>0.877029</x:v>
      </x:c>
      <x:c r="J112" s="26" t="n">
        <x:v>0</x:v>
      </x:c>
      <x:c r="K112" s="26" t="n">
        <x:v>0</x:v>
      </x:c>
      <x:c r="L112" s="22" t="str">
        <x:v>字典序MILP-Q95</x:v>
      </x:c>
    </x:row>
    <x:row r="113" ht="20" customHeight="1">
      <x:c r="A113" s="22" t="str">
        <x:v>2025-03-06</x:v>
      </x:c>
      <x:c r="B113" s="22" t="str">
        <x:v>中班</x:v>
      </x:c>
      <x:c r="C113" s="22" t="str">
        <x:v>L11</x:v>
      </x:c>
      <x:c r="D113" s="22" t="str">
        <x:v>P0043</x:v>
      </x:c>
      <x:c r="E113" s="22" t="str">
        <x:v>Q04</x:v>
      </x:c>
      <x:c r="F113" s="27" t="n">
        <x:v>35000</x:v>
      </x:c>
      <x:c r="G113" s="27" t="n">
        <x:v>35000</x:v>
      </x:c>
      <x:c r="H113" s="28" t="n">
        <x:v>1</x:v>
      </x:c>
      <x:c r="I113" s="29" t="n">
        <x:v>1</x:v>
      </x:c>
      <x:c r="J113" s="26" t="n">
        <x:v>0</x:v>
      </x:c>
      <x:c r="K113" s="26" t="n">
        <x:v>0</x:v>
      </x:c>
      <x:c r="L113" s="22" t="str">
        <x:v>字典序MILP-Q95</x:v>
      </x:c>
    </x:row>
    <x:row r="114" ht="20" customHeight="1">
      <x:c r="A114" s="22" t="str">
        <x:v>2025-03-06</x:v>
      </x:c>
      <x:c r="B114" s="22" t="str">
        <x:v>中班</x:v>
      </x:c>
      <x:c r="C114" s="22" t="str">
        <x:v>L12</x:v>
      </x:c>
      <x:c r="D114" s="22" t="str">
        <x:v>P0013</x:v>
      </x:c>
      <x:c r="E114" s="22" t="str">
        <x:v>Q03</x:v>
      </x:c>
      <x:c r="F114" s="27" t="n">
        <x:v>35000</x:v>
      </x:c>
      <x:c r="G114" s="27" t="n">
        <x:v>35000</x:v>
      </x:c>
      <x:c r="H114" s="28" t="n">
        <x:v>1</x:v>
      </x:c>
      <x:c r="I114" s="29" t="n">
        <x:v>0.695541</x:v>
      </x:c>
      <x:c r="J114" s="26" t="n">
        <x:v>0</x:v>
      </x:c>
      <x:c r="K114" s="26" t="n">
        <x:v>0</x:v>
      </x:c>
      <x:c r="L114" s="22" t="str">
        <x:v>字典序MILP-Q95</x:v>
      </x:c>
    </x:row>
    <x:row r="115" ht="20" customHeight="1">
      <x:c r="A115" s="22" t="str">
        <x:v>2025-03-06</x:v>
      </x:c>
      <x:c r="B115" s="22" t="str">
        <x:v>中班</x:v>
      </x:c>
      <x:c r="C115" s="22" t="str">
        <x:v>L13</x:v>
      </x:c>
      <x:c r="D115" s="22" t="str">
        <x:v>P0059</x:v>
      </x:c>
      <x:c r="E115" s="22" t="str">
        <x:v>Q08</x:v>
      </x:c>
      <x:c r="F115" s="27" t="n">
        <x:v>13500</x:v>
      </x:c>
      <x:c r="G115" s="27" t="n">
        <x:v>13500</x:v>
      </x:c>
      <x:c r="H115" s="28" t="n">
        <x:v>1</x:v>
      </x:c>
      <x:c r="I115" s="29" t="n">
        <x:v>0.8</x:v>
      </x:c>
      <x:c r="J115" s="26" t="n">
        <x:v>0</x:v>
      </x:c>
      <x:c r="K115" s="26" t="n">
        <x:v>0</x:v>
      </x:c>
      <x:c r="L115" s="22" t="str">
        <x:v>字典序MILP-Q95</x:v>
      </x:c>
    </x:row>
    <x:row r="116" ht="20" customHeight="1">
      <x:c r="A116" s="22" t="str">
        <x:v>2025-03-06</x:v>
      </x:c>
      <x:c r="B116" s="22" t="str">
        <x:v>中班</x:v>
      </x:c>
      <x:c r="C116" s="22" t="str">
        <x:v>L14</x:v>
      </x:c>
      <x:c r="D116" s="22" t="str">
        <x:v>P0013</x:v>
      </x:c>
      <x:c r="E116" s="22" t="str">
        <x:v>Q03</x:v>
      </x:c>
      <x:c r="F116" s="27" t="n">
        <x:v>28000</x:v>
      </x:c>
      <x:c r="G116" s="27" t="n">
        <x:v>28000</x:v>
      </x:c>
      <x:c r="H116" s="28" t="n">
        <x:v>1</x:v>
      </x:c>
      <x:c r="I116" s="29" t="n">
        <x:v>0.741574</x:v>
      </x:c>
      <x:c r="J116" s="26" t="n">
        <x:v>0</x:v>
      </x:c>
      <x:c r="K116" s="26" t="n">
        <x:v>0</x:v>
      </x:c>
      <x:c r="L116" s="22" t="str">
        <x:v>字典序MILP-Q95</x:v>
      </x:c>
    </x:row>
    <x:row r="117" ht="20" customHeight="1">
      <x:c r="A117" s="22" t="str">
        <x:v>2025-03-07</x:v>
      </x:c>
      <x:c r="B117" s="22" t="str">
        <x:v>早班</x:v>
      </x:c>
      <x:c r="C117" s="22" t="str">
        <x:v>L01</x:v>
      </x:c>
      <x:c r="D117" s="22" t="str">
        <x:v>P0014</x:v>
      </x:c>
      <x:c r="E117" s="22" t="str">
        <x:v>Q03</x:v>
      </x:c>
      <x:c r="F117" s="27" t="n">
        <x:v>23000</x:v>
      </x:c>
      <x:c r="G117" s="27" t="n">
        <x:v>23000</x:v>
      </x:c>
      <x:c r="H117" s="28" t="n">
        <x:v>1</x:v>
      </x:c>
      <x:c r="I117" s="29" t="n">
        <x:v>0.353641</x:v>
      </x:c>
      <x:c r="J117" s="26" t="n">
        <x:v>0</x:v>
      </x:c>
      <x:c r="K117" s="26" t="n">
        <x:v>0</x:v>
      </x:c>
      <x:c r="L117" s="22" t="str">
        <x:v>字典序MILP-Q95</x:v>
      </x:c>
    </x:row>
    <x:row r="118" ht="20" customHeight="1">
      <x:c r="A118" s="22" t="str">
        <x:v>2025-03-07</x:v>
      </x:c>
      <x:c r="B118" s="22" t="str">
        <x:v>早班</x:v>
      </x:c>
      <x:c r="C118" s="22" t="str">
        <x:v>L02</x:v>
      </x:c>
      <x:c r="D118" s="22" t="str">
        <x:v>P0159</x:v>
      </x:c>
      <x:c r="E118" s="22" t="str">
        <x:v>Q03</x:v>
      </x:c>
      <x:c r="F118" s="27" t="n">
        <x:v>31998</x:v>
      </x:c>
      <x:c r="G118" s="27" t="n">
        <x:v>31998</x:v>
      </x:c>
      <x:c r="H118" s="28" t="n">
        <x:v>1</x:v>
      </x:c>
      <x:c r="I118" s="29" t="n">
        <x:v>0.4</x:v>
      </x:c>
      <x:c r="J118" s="26" t="n">
        <x:v>0</x:v>
      </x:c>
      <x:c r="K118" s="26" t="n">
        <x:v>0</x:v>
      </x:c>
      <x:c r="L118" s="22" t="str">
        <x:v>字典序MILP-Q95</x:v>
      </x:c>
    </x:row>
    <x:row r="119" ht="20" customHeight="1">
      <x:c r="A119" s="22" t="str">
        <x:v>2025-03-07</x:v>
      </x:c>
      <x:c r="B119" s="22" t="str">
        <x:v>早班</x:v>
      </x:c>
      <x:c r="C119" s="22" t="str">
        <x:v>L03</x:v>
      </x:c>
      <x:c r="D119" s="22" t="str">
        <x:v>P0070</x:v>
      </x:c>
      <x:c r="E119" s="22" t="str">
        <x:v>Q03</x:v>
      </x:c>
      <x:c r="F119" s="27" t="n">
        <x:v>42000</x:v>
      </x:c>
      <x:c r="G119" s="27" t="n">
        <x:v>42000</x:v>
      </x:c>
      <x:c r="H119" s="28" t="n">
        <x:v>1</x:v>
      </x:c>
      <x:c r="I119" s="29" t="n">
        <x:v>0.6</x:v>
      </x:c>
      <x:c r="J119" s="26" t="n">
        <x:v>0</x:v>
      </x:c>
      <x:c r="K119" s="26" t="n">
        <x:v>0</x:v>
      </x:c>
      <x:c r="L119" s="22" t="str">
        <x:v>字典序MILP-Q95</x:v>
      </x:c>
    </x:row>
    <x:row r="120" ht="20" customHeight="1">
      <x:c r="A120" s="22" t="str">
        <x:v>2025-03-07</x:v>
      </x:c>
      <x:c r="B120" s="22" t="str">
        <x:v>早班</x:v>
      </x:c>
      <x:c r="C120" s="22" t="str">
        <x:v>L04</x:v>
      </x:c>
      <x:c r="D120" s="22" t="str">
        <x:v>P0163</x:v>
      </x:c>
      <x:c r="E120" s="22" t="str">
        <x:v>Q06</x:v>
      </x:c>
      <x:c r="F120" s="27" t="n">
        <x:v>21500</x:v>
      </x:c>
      <x:c r="G120" s="27" t="n">
        <x:v>21500</x:v>
      </x:c>
      <x:c r="H120" s="28" t="n">
        <x:v>1</x:v>
      </x:c>
      <x:c r="I120" s="29" t="n">
        <x:v>1</x:v>
      </x:c>
      <x:c r="J120" s="26" t="n">
        <x:v>0</x:v>
      </x:c>
      <x:c r="K120" s="26" t="n">
        <x:v>0</x:v>
      </x:c>
      <x:c r="L120" s="22" t="str">
        <x:v>字典序MILP-Q95</x:v>
      </x:c>
    </x:row>
    <x:row r="121" ht="20" customHeight="1">
      <x:c r="A121" s="22" t="str">
        <x:v>2025-03-07</x:v>
      </x:c>
      <x:c r="B121" s="22" t="str">
        <x:v>早班</x:v>
      </x:c>
      <x:c r="C121" s="22" t="str">
        <x:v>L05</x:v>
      </x:c>
      <x:c r="D121" s="22" t="str"/>
      <x:c r="E121" s="22" t="str"/>
      <x:c r="F121" s="27" t="n">
        <x:v>0</x:v>
      </x:c>
      <x:c r="G121" s="27" t="n">
        <x:v>0</x:v>
      </x:c>
      <x:c r="H121" s="28" t="n">
        <x:v>0</x:v>
      </x:c>
      <x:c r="I121" s="29" t="n">
        <x:v>0</x:v>
      </x:c>
      <x:c r="J121" s="26" t="n">
        <x:v>0</x:v>
      </x:c>
      <x:c r="K121" s="26" t="n">
        <x:v>0</x:v>
      </x:c>
      <x:c r="L121" s="22" t="str">
        <x:v>字典序MILP-Q95</x:v>
      </x:c>
    </x:row>
    <x:row r="122" ht="20" customHeight="1">
      <x:c r="A122" s="22" t="str">
        <x:v>2025-03-07</x:v>
      </x:c>
      <x:c r="B122" s="22" t="str">
        <x:v>早班</x:v>
      </x:c>
      <x:c r="C122" s="22" t="str">
        <x:v>L06</x:v>
      </x:c>
      <x:c r="D122" s="22" t="str">
        <x:v>P0013</x:v>
      </x:c>
      <x:c r="E122" s="22" t="str">
        <x:v>Q03</x:v>
      </x:c>
      <x:c r="F122" s="27" t="n">
        <x:v>34000</x:v>
      </x:c>
      <x:c r="G122" s="27" t="n">
        <x:v>34000</x:v>
      </x:c>
      <x:c r="H122" s="28" t="n">
        <x:v>1</x:v>
      </x:c>
      <x:c r="I122" s="29" t="n">
        <x:v>0.884614</x:v>
      </x:c>
      <x:c r="J122" s="26" t="n">
        <x:v>0</x:v>
      </x:c>
      <x:c r="K122" s="26" t="n">
        <x:v>0</x:v>
      </x:c>
      <x:c r="L122" s="22" t="str">
        <x:v>字典序MILP-Q95</x:v>
      </x:c>
    </x:row>
    <x:row r="123" ht="20" customHeight="1">
      <x:c r="A123" s="22" t="str">
        <x:v>2025-03-07</x:v>
      </x:c>
      <x:c r="B123" s="22" t="str">
        <x:v>早班</x:v>
      </x:c>
      <x:c r="C123" s="22" t="str">
        <x:v>L07</x:v>
      </x:c>
      <x:c r="D123" s="22" t="str">
        <x:v>P0163</x:v>
      </x:c>
      <x:c r="E123" s="22" t="str">
        <x:v>Q06</x:v>
      </x:c>
      <x:c r="F123" s="27" t="n">
        <x:v>21500</x:v>
      </x:c>
      <x:c r="G123" s="27" t="n">
        <x:v>21500</x:v>
      </x:c>
      <x:c r="H123" s="28" t="n">
        <x:v>1</x:v>
      </x:c>
      <x:c r="I123" s="29" t="n">
        <x:v>0.6</x:v>
      </x:c>
      <x:c r="J123" s="26" t="n">
        <x:v>0</x:v>
      </x:c>
      <x:c r="K123" s="26" t="n">
        <x:v>0</x:v>
      </x:c>
      <x:c r="L123" s="22" t="str">
        <x:v>字典序MILP-Q95</x:v>
      </x:c>
    </x:row>
    <x:row r="124" ht="20" customHeight="1">
      <x:c r="A124" s="22" t="str">
        <x:v>2025-03-07</x:v>
      </x:c>
      <x:c r="B124" s="22" t="str">
        <x:v>早班</x:v>
      </x:c>
      <x:c r="C124" s="22" t="str">
        <x:v>L08</x:v>
      </x:c>
      <x:c r="D124" s="22" t="str">
        <x:v>P0004</x:v>
      </x:c>
      <x:c r="E124" s="22" t="str">
        <x:v>Q02</x:v>
      </x:c>
      <x:c r="F124" s="27" t="n">
        <x:v>35000</x:v>
      </x:c>
      <x:c r="G124" s="27" t="n">
        <x:v>35000</x:v>
      </x:c>
      <x:c r="H124" s="28" t="n">
        <x:v>1</x:v>
      </x:c>
      <x:c r="I124" s="29" t="n">
        <x:v>1</x:v>
      </x:c>
      <x:c r="J124" s="26" t="n">
        <x:v>0</x:v>
      </x:c>
      <x:c r="K124" s="26" t="n">
        <x:v>0</x:v>
      </x:c>
      <x:c r="L124" s="22" t="str">
        <x:v>字典序MILP-Q95</x:v>
      </x:c>
    </x:row>
    <x:row r="125" ht="20" customHeight="1">
      <x:c r="A125" s="22" t="str">
        <x:v>2025-03-07</x:v>
      </x:c>
      <x:c r="B125" s="22" t="str">
        <x:v>早班</x:v>
      </x:c>
      <x:c r="C125" s="22" t="str">
        <x:v>L09</x:v>
      </x:c>
      <x:c r="D125" s="22" t="str">
        <x:v>P0011</x:v>
      </x:c>
      <x:c r="E125" s="22" t="str">
        <x:v>Q03</x:v>
      </x:c>
      <x:c r="F125" s="27" t="n">
        <x:v>15000</x:v>
      </x:c>
      <x:c r="G125" s="27" t="n">
        <x:v>15000</x:v>
      </x:c>
      <x:c r="H125" s="28" t="n">
        <x:v>1</x:v>
      </x:c>
      <x:c r="I125" s="29" t="n">
        <x:v>0.6</x:v>
      </x:c>
      <x:c r="J125" s="26" t="n">
        <x:v>1</x:v>
      </x:c>
      <x:c r="K125" s="26" t="n">
        <x:v>1</x:v>
      </x:c>
      <x:c r="L125" s="22" t="str">
        <x:v>字典序MILP-Q95</x:v>
      </x:c>
    </x:row>
    <x:row r="126" ht="20" customHeight="1">
      <x:c r="A126" s="22" t="str">
        <x:v>2025-03-07</x:v>
      </x:c>
      <x:c r="B126" s="22" t="str">
        <x:v>早班</x:v>
      </x:c>
      <x:c r="C126" s="22" t="str">
        <x:v>L10</x:v>
      </x:c>
      <x:c r="D126" s="22" t="str">
        <x:v>P0014</x:v>
      </x:c>
      <x:c r="E126" s="22" t="str">
        <x:v>Q03</x:v>
      </x:c>
      <x:c r="F126" s="27" t="n">
        <x:v>110000</x:v>
      </x:c>
      <x:c r="G126" s="27" t="n">
        <x:v>110000</x:v>
      </x:c>
      <x:c r="H126" s="28" t="n">
        <x:v>1</x:v>
      </x:c>
      <x:c r="I126" s="29" t="n">
        <x:v>0.877029</x:v>
      </x:c>
      <x:c r="J126" s="26" t="n">
        <x:v>0</x:v>
      </x:c>
      <x:c r="K126" s="26" t="n">
        <x:v>0</x:v>
      </x:c>
      <x:c r="L126" s="22" t="str">
        <x:v>字典序MILP-Q95</x:v>
      </x:c>
    </x:row>
    <x:row r="127" ht="20" customHeight="1">
      <x:c r="A127" s="22" t="str">
        <x:v>2025-03-07</x:v>
      </x:c>
      <x:c r="B127" s="22" t="str">
        <x:v>早班</x:v>
      </x:c>
      <x:c r="C127" s="22" t="str">
        <x:v>L11</x:v>
      </x:c>
      <x:c r="D127" s="22" t="str">
        <x:v>P0043</x:v>
      </x:c>
      <x:c r="E127" s="22" t="str">
        <x:v>Q04</x:v>
      </x:c>
      <x:c r="F127" s="27" t="n">
        <x:v>35000</x:v>
      </x:c>
      <x:c r="G127" s="27" t="n">
        <x:v>35000</x:v>
      </x:c>
      <x:c r="H127" s="28" t="n">
        <x:v>1</x:v>
      </x:c>
      <x:c r="I127" s="29" t="n">
        <x:v>1</x:v>
      </x:c>
      <x:c r="J127" s="26" t="n">
        <x:v>0</x:v>
      </x:c>
      <x:c r="K127" s="26" t="n">
        <x:v>0</x:v>
      </x:c>
      <x:c r="L127" s="22" t="str">
        <x:v>字典序MILP-Q95</x:v>
      </x:c>
    </x:row>
    <x:row r="128" ht="20" customHeight="1">
      <x:c r="A128" s="22" t="str">
        <x:v>2025-03-07</x:v>
      </x:c>
      <x:c r="B128" s="22" t="str">
        <x:v>早班</x:v>
      </x:c>
      <x:c r="C128" s="22" t="str">
        <x:v>L12</x:v>
      </x:c>
      <x:c r="D128" s="22" t="str">
        <x:v>P0013</x:v>
      </x:c>
      <x:c r="E128" s="22" t="str">
        <x:v>Q03</x:v>
      </x:c>
      <x:c r="F128" s="27" t="n">
        <x:v>35000</x:v>
      </x:c>
      <x:c r="G128" s="27" t="n">
        <x:v>35000</x:v>
      </x:c>
      <x:c r="H128" s="28" t="n">
        <x:v>1</x:v>
      </x:c>
      <x:c r="I128" s="29" t="n">
        <x:v>0.695541</x:v>
      </x:c>
      <x:c r="J128" s="26" t="n">
        <x:v>0</x:v>
      </x:c>
      <x:c r="K128" s="26" t="n">
        <x:v>0</x:v>
      </x:c>
      <x:c r="L128" s="22" t="str">
        <x:v>字典序MILP-Q95</x:v>
      </x:c>
    </x:row>
    <x:row r="129" ht="20" customHeight="1">
      <x:c r="A129" s="22" t="str">
        <x:v>2025-03-07</x:v>
      </x:c>
      <x:c r="B129" s="22" t="str">
        <x:v>早班</x:v>
      </x:c>
      <x:c r="C129" s="22" t="str">
        <x:v>L13</x:v>
      </x:c>
      <x:c r="D129" s="22" t="str">
        <x:v>P0059</x:v>
      </x:c>
      <x:c r="E129" s="22" t="str">
        <x:v>Q08</x:v>
      </x:c>
      <x:c r="F129" s="27" t="n">
        <x:v>13500</x:v>
      </x:c>
      <x:c r="G129" s="27" t="n">
        <x:v>13500</x:v>
      </x:c>
      <x:c r="H129" s="28" t="n">
        <x:v>1</x:v>
      </x:c>
      <x:c r="I129" s="29" t="n">
        <x:v>0.8</x:v>
      </x:c>
      <x:c r="J129" s="26" t="n">
        <x:v>0</x:v>
      </x:c>
      <x:c r="K129" s="26" t="n">
        <x:v>0</x:v>
      </x:c>
      <x:c r="L129" s="22" t="str">
        <x:v>字典序MILP-Q95</x:v>
      </x:c>
    </x:row>
    <x:row r="130" ht="20" customHeight="1">
      <x:c r="A130" s="22" t="str">
        <x:v>2025-03-07</x:v>
      </x:c>
      <x:c r="B130" s="22" t="str">
        <x:v>早班</x:v>
      </x:c>
      <x:c r="C130" s="22" t="str">
        <x:v>L14</x:v>
      </x:c>
      <x:c r="D130" s="22" t="str">
        <x:v>P0013</x:v>
      </x:c>
      <x:c r="E130" s="22" t="str">
        <x:v>Q03</x:v>
      </x:c>
      <x:c r="F130" s="27" t="n">
        <x:v>28000</x:v>
      </x:c>
      <x:c r="G130" s="27" t="n">
        <x:v>28000</x:v>
      </x:c>
      <x:c r="H130" s="28" t="n">
        <x:v>1</x:v>
      </x:c>
      <x:c r="I130" s="29" t="n">
        <x:v>0.741574</x:v>
      </x:c>
      <x:c r="J130" s="26" t="n">
        <x:v>0</x:v>
      </x:c>
      <x:c r="K130" s="26" t="n">
        <x:v>0</x:v>
      </x:c>
      <x:c r="L130" s="22" t="str">
        <x:v>字典序MILP-Q95</x:v>
      </x:c>
    </x:row>
    <x:row r="131" ht="20" customHeight="1">
      <x:c r="A131" s="22" t="str">
        <x:v>2025-03-07</x:v>
      </x:c>
      <x:c r="B131" s="22" t="str">
        <x:v>中班</x:v>
      </x:c>
      <x:c r="C131" s="22" t="str">
        <x:v>L01</x:v>
      </x:c>
      <x:c r="D131" s="22" t="str">
        <x:v>P0014</x:v>
      </x:c>
      <x:c r="E131" s="22" t="str">
        <x:v>Q03</x:v>
      </x:c>
      <x:c r="F131" s="27" t="n">
        <x:v>23000</x:v>
      </x:c>
      <x:c r="G131" s="27" t="n">
        <x:v>23000</x:v>
      </x:c>
      <x:c r="H131" s="28" t="n">
        <x:v>1</x:v>
      </x:c>
      <x:c r="I131" s="29" t="n">
        <x:v>0.353641</x:v>
      </x:c>
      <x:c r="J131" s="26" t="n">
        <x:v>0</x:v>
      </x:c>
      <x:c r="K131" s="26" t="n">
        <x:v>0</x:v>
      </x:c>
      <x:c r="L131" s="22" t="str">
        <x:v>字典序MILP-Q95</x:v>
      </x:c>
    </x:row>
    <x:row r="132" ht="20" customHeight="1">
      <x:c r="A132" s="22" t="str">
        <x:v>2025-03-07</x:v>
      </x:c>
      <x:c r="B132" s="22" t="str">
        <x:v>中班</x:v>
      </x:c>
      <x:c r="C132" s="22" t="str">
        <x:v>L02</x:v>
      </x:c>
      <x:c r="D132" s="22" t="str">
        <x:v>P0159</x:v>
      </x:c>
      <x:c r="E132" s="22" t="str">
        <x:v>Q03</x:v>
      </x:c>
      <x:c r="F132" s="27" t="n">
        <x:v>31998</x:v>
      </x:c>
      <x:c r="G132" s="27" t="n">
        <x:v>31998</x:v>
      </x:c>
      <x:c r="H132" s="28" t="n">
        <x:v>1</x:v>
      </x:c>
      <x:c r="I132" s="29" t="n">
        <x:v>0.4</x:v>
      </x:c>
      <x:c r="J132" s="26" t="n">
        <x:v>0</x:v>
      </x:c>
      <x:c r="K132" s="26" t="n">
        <x:v>0</x:v>
      </x:c>
      <x:c r="L132" s="22" t="str">
        <x:v>字典序MILP-Q95</x:v>
      </x:c>
    </x:row>
    <x:row r="133" ht="20" customHeight="1">
      <x:c r="A133" s="22" t="str">
        <x:v>2025-03-07</x:v>
      </x:c>
      <x:c r="B133" s="22" t="str">
        <x:v>中班</x:v>
      </x:c>
      <x:c r="C133" s="22" t="str">
        <x:v>L03</x:v>
      </x:c>
      <x:c r="D133" s="22" t="str">
        <x:v>P0070</x:v>
      </x:c>
      <x:c r="E133" s="22" t="str">
        <x:v>Q03</x:v>
      </x:c>
      <x:c r="F133" s="27" t="n">
        <x:v>42000</x:v>
      </x:c>
      <x:c r="G133" s="27" t="n">
        <x:v>42000</x:v>
      </x:c>
      <x:c r="H133" s="28" t="n">
        <x:v>1</x:v>
      </x:c>
      <x:c r="I133" s="29" t="n">
        <x:v>0.6</x:v>
      </x:c>
      <x:c r="J133" s="26" t="n">
        <x:v>0</x:v>
      </x:c>
      <x:c r="K133" s="26" t="n">
        <x:v>0</x:v>
      </x:c>
      <x:c r="L133" s="22" t="str">
        <x:v>字典序MILP-Q95</x:v>
      </x:c>
    </x:row>
    <x:row r="134" ht="20" customHeight="1">
      <x:c r="A134" s="22" t="str">
        <x:v>2025-03-07</x:v>
      </x:c>
      <x:c r="B134" s="22" t="str">
        <x:v>中班</x:v>
      </x:c>
      <x:c r="C134" s="22" t="str">
        <x:v>L04</x:v>
      </x:c>
      <x:c r="D134" s="22" t="str">
        <x:v>P0163</x:v>
      </x:c>
      <x:c r="E134" s="22" t="str">
        <x:v>Q06</x:v>
      </x:c>
      <x:c r="F134" s="27" t="n">
        <x:v>21500</x:v>
      </x:c>
      <x:c r="G134" s="27" t="n">
        <x:v>21500</x:v>
      </x:c>
      <x:c r="H134" s="28" t="n">
        <x:v>1</x:v>
      </x:c>
      <x:c r="I134" s="29" t="n">
        <x:v>1</x:v>
      </x:c>
      <x:c r="J134" s="26" t="n">
        <x:v>0</x:v>
      </x:c>
      <x:c r="K134" s="26" t="n">
        <x:v>0</x:v>
      </x:c>
      <x:c r="L134" s="22" t="str">
        <x:v>字典序MILP-Q95</x:v>
      </x:c>
    </x:row>
    <x:row r="135" ht="20" customHeight="1">
      <x:c r="A135" s="22" t="str">
        <x:v>2025-03-07</x:v>
      </x:c>
      <x:c r="B135" s="22" t="str">
        <x:v>中班</x:v>
      </x:c>
      <x:c r="C135" s="22" t="str">
        <x:v>L05</x:v>
      </x:c>
      <x:c r="D135" s="22" t="str"/>
      <x:c r="E135" s="22" t="str"/>
      <x:c r="F135" s="27" t="n">
        <x:v>0</x:v>
      </x:c>
      <x:c r="G135" s="27" t="n">
        <x:v>0</x:v>
      </x:c>
      <x:c r="H135" s="28" t="n">
        <x:v>0</x:v>
      </x:c>
      <x:c r="I135" s="29" t="n">
        <x:v>0</x:v>
      </x:c>
      <x:c r="J135" s="26" t="n">
        <x:v>0</x:v>
      </x:c>
      <x:c r="K135" s="26" t="n">
        <x:v>0</x:v>
      </x:c>
      <x:c r="L135" s="22" t="str">
        <x:v>字典序MILP-Q95</x:v>
      </x:c>
    </x:row>
    <x:row r="136" ht="20" customHeight="1">
      <x:c r="A136" s="22" t="str">
        <x:v>2025-03-07</x:v>
      </x:c>
      <x:c r="B136" s="22" t="str">
        <x:v>中班</x:v>
      </x:c>
      <x:c r="C136" s="22" t="str">
        <x:v>L06</x:v>
      </x:c>
      <x:c r="D136" s="22" t="str">
        <x:v>P0013</x:v>
      </x:c>
      <x:c r="E136" s="22" t="str">
        <x:v>Q03</x:v>
      </x:c>
      <x:c r="F136" s="27" t="n">
        <x:v>34000</x:v>
      </x:c>
      <x:c r="G136" s="27" t="n">
        <x:v>34000</x:v>
      </x:c>
      <x:c r="H136" s="28" t="n">
        <x:v>1</x:v>
      </x:c>
      <x:c r="I136" s="29" t="n">
        <x:v>0.884614</x:v>
      </x:c>
      <x:c r="J136" s="26" t="n">
        <x:v>0</x:v>
      </x:c>
      <x:c r="K136" s="26" t="n">
        <x:v>0</x:v>
      </x:c>
      <x:c r="L136" s="22" t="str">
        <x:v>字典序MILP-Q95</x:v>
      </x:c>
    </x:row>
    <x:row r="137" ht="20" customHeight="1">
      <x:c r="A137" s="22" t="str">
        <x:v>2025-03-07</x:v>
      </x:c>
      <x:c r="B137" s="22" t="str">
        <x:v>中班</x:v>
      </x:c>
      <x:c r="C137" s="22" t="str">
        <x:v>L07</x:v>
      </x:c>
      <x:c r="D137" s="22" t="str">
        <x:v>P0163</x:v>
      </x:c>
      <x:c r="E137" s="22" t="str">
        <x:v>Q06</x:v>
      </x:c>
      <x:c r="F137" s="27" t="n">
        <x:v>21500</x:v>
      </x:c>
      <x:c r="G137" s="27" t="n">
        <x:v>21500</x:v>
      </x:c>
      <x:c r="H137" s="28" t="n">
        <x:v>1</x:v>
      </x:c>
      <x:c r="I137" s="29" t="n">
        <x:v>0.6</x:v>
      </x:c>
      <x:c r="J137" s="26" t="n">
        <x:v>0</x:v>
      </x:c>
      <x:c r="K137" s="26" t="n">
        <x:v>0</x:v>
      </x:c>
      <x:c r="L137" s="22" t="str">
        <x:v>字典序MILP-Q95</x:v>
      </x:c>
    </x:row>
    <x:row r="138" ht="20" customHeight="1">
      <x:c r="A138" s="22" t="str">
        <x:v>2025-03-07</x:v>
      </x:c>
      <x:c r="B138" s="22" t="str">
        <x:v>中班</x:v>
      </x:c>
      <x:c r="C138" s="22" t="str">
        <x:v>L08</x:v>
      </x:c>
      <x:c r="D138" s="22" t="str">
        <x:v>P0004</x:v>
      </x:c>
      <x:c r="E138" s="22" t="str">
        <x:v>Q02</x:v>
      </x:c>
      <x:c r="F138" s="27" t="n">
        <x:v>35000</x:v>
      </x:c>
      <x:c r="G138" s="27" t="n">
        <x:v>35000</x:v>
      </x:c>
      <x:c r="H138" s="28" t="n">
        <x:v>1</x:v>
      </x:c>
      <x:c r="I138" s="29" t="n">
        <x:v>1</x:v>
      </x:c>
      <x:c r="J138" s="26" t="n">
        <x:v>0</x:v>
      </x:c>
      <x:c r="K138" s="26" t="n">
        <x:v>0</x:v>
      </x:c>
      <x:c r="L138" s="22" t="str">
        <x:v>字典序MILP-Q95</x:v>
      </x:c>
    </x:row>
    <x:row r="139" ht="20" customHeight="1">
      <x:c r="A139" s="22" t="str">
        <x:v>2025-03-07</x:v>
      </x:c>
      <x:c r="B139" s="22" t="str">
        <x:v>中班</x:v>
      </x:c>
      <x:c r="C139" s="22" t="str">
        <x:v>L09</x:v>
      </x:c>
      <x:c r="D139" s="22" t="str">
        <x:v>P0011</x:v>
      </x:c>
      <x:c r="E139" s="22" t="str">
        <x:v>Q03</x:v>
      </x:c>
      <x:c r="F139" s="27" t="n">
        <x:v>15000</x:v>
      </x:c>
      <x:c r="G139" s="27" t="n">
        <x:v>15000</x:v>
      </x:c>
      <x:c r="H139" s="28" t="n">
        <x:v>1</x:v>
      </x:c>
      <x:c r="I139" s="29" t="n">
        <x:v>0.6</x:v>
      </x:c>
      <x:c r="J139" s="26" t="n">
        <x:v>0</x:v>
      </x:c>
      <x:c r="K139" s="26" t="n">
        <x:v>0</x:v>
      </x:c>
      <x:c r="L139" s="22" t="str">
        <x:v>字典序MILP-Q95</x:v>
      </x:c>
    </x:row>
    <x:row r="140" ht="20" customHeight="1">
      <x:c r="A140" s="22" t="str">
        <x:v>2025-03-07</x:v>
      </x:c>
      <x:c r="B140" s="22" t="str">
        <x:v>中班</x:v>
      </x:c>
      <x:c r="C140" s="22" t="str">
        <x:v>L10</x:v>
      </x:c>
      <x:c r="D140" s="22" t="str">
        <x:v>P0014</x:v>
      </x:c>
      <x:c r="E140" s="22" t="str">
        <x:v>Q03</x:v>
      </x:c>
      <x:c r="F140" s="27" t="n">
        <x:v>110000</x:v>
      </x:c>
      <x:c r="G140" s="27" t="n">
        <x:v>110000</x:v>
      </x:c>
      <x:c r="H140" s="28" t="n">
        <x:v>1</x:v>
      </x:c>
      <x:c r="I140" s="29" t="n">
        <x:v>0.877029</x:v>
      </x:c>
      <x:c r="J140" s="26" t="n">
        <x:v>0</x:v>
      </x:c>
      <x:c r="K140" s="26" t="n">
        <x:v>0</x:v>
      </x:c>
      <x:c r="L140" s="22" t="str">
        <x:v>字典序MILP-Q95</x:v>
      </x:c>
    </x:row>
    <x:row r="141" ht="20" customHeight="1">
      <x:c r="A141" s="22" t="str">
        <x:v>2025-03-07</x:v>
      </x:c>
      <x:c r="B141" s="22" t="str">
        <x:v>中班</x:v>
      </x:c>
      <x:c r="C141" s="22" t="str">
        <x:v>L11</x:v>
      </x:c>
      <x:c r="D141" s="22" t="str">
        <x:v>P0043</x:v>
      </x:c>
      <x:c r="E141" s="22" t="str">
        <x:v>Q04</x:v>
      </x:c>
      <x:c r="F141" s="27" t="n">
        <x:v>35000</x:v>
      </x:c>
      <x:c r="G141" s="27" t="n">
        <x:v>35000</x:v>
      </x:c>
      <x:c r="H141" s="28" t="n">
        <x:v>1</x:v>
      </x:c>
      <x:c r="I141" s="29" t="n">
        <x:v>1</x:v>
      </x:c>
      <x:c r="J141" s="26" t="n">
        <x:v>0</x:v>
      </x:c>
      <x:c r="K141" s="26" t="n">
        <x:v>0</x:v>
      </x:c>
      <x:c r="L141" s="22" t="str">
        <x:v>字典序MILP-Q95</x:v>
      </x:c>
    </x:row>
    <x:row r="142" ht="20" customHeight="1">
      <x:c r="A142" s="22" t="str">
        <x:v>2025-03-07</x:v>
      </x:c>
      <x:c r="B142" s="22" t="str">
        <x:v>中班</x:v>
      </x:c>
      <x:c r="C142" s="22" t="str">
        <x:v>L12</x:v>
      </x:c>
      <x:c r="D142" s="22" t="str">
        <x:v>P0013</x:v>
      </x:c>
      <x:c r="E142" s="22" t="str">
        <x:v>Q03</x:v>
      </x:c>
      <x:c r="F142" s="27" t="n">
        <x:v>35000</x:v>
      </x:c>
      <x:c r="G142" s="27" t="n">
        <x:v>35000</x:v>
      </x:c>
      <x:c r="H142" s="28" t="n">
        <x:v>1</x:v>
      </x:c>
      <x:c r="I142" s="29" t="n">
        <x:v>0.695541</x:v>
      </x:c>
      <x:c r="J142" s="26" t="n">
        <x:v>0</x:v>
      </x:c>
      <x:c r="K142" s="26" t="n">
        <x:v>0</x:v>
      </x:c>
      <x:c r="L142" s="22" t="str">
        <x:v>字典序MILP-Q95</x:v>
      </x:c>
    </x:row>
    <x:row r="143" ht="20" customHeight="1">
      <x:c r="A143" s="22" t="str">
        <x:v>2025-03-07</x:v>
      </x:c>
      <x:c r="B143" s="22" t="str">
        <x:v>中班</x:v>
      </x:c>
      <x:c r="C143" s="22" t="str">
        <x:v>L13</x:v>
      </x:c>
      <x:c r="D143" s="22" t="str">
        <x:v>P0059</x:v>
      </x:c>
      <x:c r="E143" s="22" t="str">
        <x:v>Q08</x:v>
      </x:c>
      <x:c r="F143" s="27" t="n">
        <x:v>13500</x:v>
      </x:c>
      <x:c r="G143" s="27" t="n">
        <x:v>13500</x:v>
      </x:c>
      <x:c r="H143" s="28" t="n">
        <x:v>1</x:v>
      </x:c>
      <x:c r="I143" s="29" t="n">
        <x:v>0.8</x:v>
      </x:c>
      <x:c r="J143" s="26" t="n">
        <x:v>0</x:v>
      </x:c>
      <x:c r="K143" s="26" t="n">
        <x:v>0</x:v>
      </x:c>
      <x:c r="L143" s="22" t="str">
        <x:v>字典序MILP-Q95</x:v>
      </x:c>
    </x:row>
    <x:row r="144" ht="20" customHeight="1">
      <x:c r="A144" s="22" t="str">
        <x:v>2025-03-07</x:v>
      </x:c>
      <x:c r="B144" s="22" t="str">
        <x:v>中班</x:v>
      </x:c>
      <x:c r="C144" s="22" t="str">
        <x:v>L14</x:v>
      </x:c>
      <x:c r="D144" s="22" t="str">
        <x:v>P0013</x:v>
      </x:c>
      <x:c r="E144" s="22" t="str">
        <x:v>Q03</x:v>
      </x:c>
      <x:c r="F144" s="27" t="n">
        <x:v>28000</x:v>
      </x:c>
      <x:c r="G144" s="27" t="n">
        <x:v>28000</x:v>
      </x:c>
      <x:c r="H144" s="28" t="n">
        <x:v>1</x:v>
      </x:c>
      <x:c r="I144" s="29" t="n">
        <x:v>0.741574</x:v>
      </x:c>
      <x:c r="J144" s="26" t="n">
        <x:v>0</x:v>
      </x:c>
      <x:c r="K144" s="26" t="n">
        <x:v>0</x:v>
      </x:c>
      <x:c r="L144" s="22" t="str">
        <x:v>字典序MILP-Q95</x:v>
      </x:c>
    </x:row>
  </x:sheetData>
  <x:mergeCells>
    <x:mergeCell ref="A1:L1"/>
    <x:mergeCell ref="A2:L2"/>
  </x:mergeCells>
  <x:conditionalFormatting sqref="J5:K144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82503caa9e48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0" customHeight="1">
      <x:c r="A1" s="4" t="str">
        <x:v>主方案｜产品需求完成情况</x:v>
      </x:c>
      <x:c r="B1" s="4" t="str">
        <x:v>主方案｜产品需求完成情况</x:v>
      </x:c>
      <x:c r="C1" s="4" t="str">
        <x:v>主方案｜产品需求完成情况</x:v>
      </x:c>
      <x:c r="D1" s="4" t="str">
        <x:v>主方案｜产品需求完成情况</x:v>
      </x:c>
      <x:c r="E1" s="4" t="str">
        <x:v>主方案｜产品需求完成情况</x:v>
      </x:c>
      <x:c r="F1" s="4" t="str">
        <x:v>主方案｜产品需求完成情况</x:v>
      </x:c>
    </x:row>
    <x:row r="2" ht="22" customHeight="1">
      <x:c r="A2" s="8" t="str">
        <x:v>需求、排产量与剩余量均按产品—酒质组合汇总</x:v>
      </x:c>
      <x:c r="B2" s="8" t="str">
        <x:v>需求、排产量与剩余量均按产品—酒质组合汇总</x:v>
      </x:c>
      <x:c r="C2" s="8" t="str">
        <x:v>需求、排产量与剩余量均按产品—酒质组合汇总</x:v>
      </x:c>
      <x:c r="D2" s="8" t="str">
        <x:v>需求、排产量与剩余量均按产品—酒质组合汇总</x:v>
      </x:c>
      <x:c r="E2" s="8" t="str">
        <x:v>需求、排产量与剩余量均按产品—酒质组合汇总</x:v>
      </x:c>
      <x:c r="F2" s="8" t="str">
        <x:v>需求、排产量与剩余量均按产品—酒质组合汇总</x:v>
      </x:c>
    </x:row>
    <x:row r="4" ht="26" customHeight="1">
      <x:c r="A4" s="14" t="str">
        <x:v>﻿产品</x:v>
      </x:c>
      <x:c r="B4" s="14" t="str">
        <x:v>酒质</x:v>
      </x:c>
      <x:c r="C4" s="14" t="str">
        <x:v>需求量</x:v>
      </x:c>
      <x:c r="D4" s="14" t="str">
        <x:v>排产量</x:v>
      </x:c>
      <x:c r="E4" s="14" t="str">
        <x:v>剩余量</x:v>
      </x:c>
      <x:c r="F4" s="14" t="str">
        <x:v>完成率</x:v>
      </x:c>
    </x:row>
    <x:row r="5" ht="20" customHeight="1">
      <x:c r="A5" s="17" t="str">
        <x:v>P0159</x:v>
      </x:c>
      <x:c r="B5" s="17" t="str">
        <x:v>Q03</x:v>
      </x:c>
      <x:c r="C5" s="27" t="n">
        <x:v>703856</x:v>
      </x:c>
      <x:c r="D5" s="27" t="n">
        <x:v>319980</x:v>
      </x:c>
      <x:c r="E5" s="27" t="n">
        <x:v>383876</x:v>
      </x:c>
      <x:c r="F5" s="28" t="n">
        <x:v>0.4546100338705644</x:v>
      </x:c>
    </x:row>
    <x:row r="6" ht="20" customHeight="1">
      <x:c r="A6" s="17" t="str">
        <x:v>P0132</x:v>
      </x:c>
      <x:c r="B6" s="17" t="str">
        <x:v>Q03</x:v>
      </x:c>
      <x:c r="C6" s="27" t="n">
        <x:v>42480</x:v>
      </x:c>
      <x:c r="D6" s="27" t="n">
        <x:v>0</x:v>
      </x:c>
      <x:c r="E6" s="27" t="n">
        <x:v>42480</x:v>
      </x:c>
      <x:c r="F6" s="28" t="n">
        <x:v>0</x:v>
      </x:c>
    </x:row>
    <x:row r="7" ht="20" customHeight="1">
      <x:c r="A7" s="17" t="str">
        <x:v>P0133</x:v>
      </x:c>
      <x:c r="B7" s="17" t="str">
        <x:v>Q03</x:v>
      </x:c>
      <x:c r="C7" s="27" t="n">
        <x:v>42480</x:v>
      </x:c>
      <x:c r="D7" s="27" t="n">
        <x:v>0</x:v>
      </x:c>
      <x:c r="E7" s="27" t="n">
        <x:v>42480</x:v>
      </x:c>
      <x:c r="F7" s="28" t="n">
        <x:v>0</x:v>
      </x:c>
    </x:row>
    <x:row r="8" ht="20" customHeight="1">
      <x:c r="A8" s="17" t="str">
        <x:v>P0134</x:v>
      </x:c>
      <x:c r="B8" s="17" t="str">
        <x:v>Q03</x:v>
      </x:c>
      <x:c r="C8" s="27" t="n">
        <x:v>42480</x:v>
      </x:c>
      <x:c r="D8" s="27" t="n">
        <x:v>0</x:v>
      </x:c>
      <x:c r="E8" s="27" t="n">
        <x:v>42480</x:v>
      </x:c>
      <x:c r="F8" s="28" t="n">
        <x:v>0</x:v>
      </x:c>
    </x:row>
    <x:row r="9" ht="20" customHeight="1">
      <x:c r="A9" s="17" t="str">
        <x:v>P0135</x:v>
      </x:c>
      <x:c r="B9" s="17" t="str">
        <x:v>Q03</x:v>
      </x:c>
      <x:c r="C9" s="27" t="n">
        <x:v>42480</x:v>
      </x:c>
      <x:c r="D9" s="27" t="n">
        <x:v>0</x:v>
      </x:c>
      <x:c r="E9" s="27" t="n">
        <x:v>42480</x:v>
      </x:c>
      <x:c r="F9" s="28" t="n">
        <x:v>0</x:v>
      </x:c>
    </x:row>
    <x:row r="10" ht="20" customHeight="1">
      <x:c r="A10" s="17" t="str">
        <x:v>P0136</x:v>
      </x:c>
      <x:c r="B10" s="17" t="str">
        <x:v>Q03</x:v>
      </x:c>
      <x:c r="C10" s="27" t="n">
        <x:v>42480</x:v>
      </x:c>
      <x:c r="D10" s="27" t="n">
        <x:v>0</x:v>
      </x:c>
      <x:c r="E10" s="27" t="n">
        <x:v>42480</x:v>
      </x:c>
      <x:c r="F10" s="28" t="n">
        <x:v>0</x:v>
      </x:c>
    </x:row>
    <x:row r="11" ht="20" customHeight="1">
      <x:c r="A11" s="17" t="str">
        <x:v>P0137</x:v>
      </x:c>
      <x:c r="B11" s="17" t="str">
        <x:v>Q03</x:v>
      </x:c>
      <x:c r="C11" s="27" t="n">
        <x:v>42480</x:v>
      </x:c>
      <x:c r="D11" s="27" t="n">
        <x:v>0</x:v>
      </x:c>
      <x:c r="E11" s="27" t="n">
        <x:v>42480</x:v>
      </x:c>
      <x:c r="F11" s="28" t="n">
        <x:v>0</x:v>
      </x:c>
    </x:row>
    <x:row r="12" ht="20" customHeight="1">
      <x:c r="A12" s="17" t="str">
        <x:v>P0138</x:v>
      </x:c>
      <x:c r="B12" s="17" t="str">
        <x:v>Q11</x:v>
      </x:c>
      <x:c r="C12" s="27" t="n">
        <x:v>15930</x:v>
      </x:c>
      <x:c r="D12" s="27" t="n">
        <x:v>0</x:v>
      </x:c>
      <x:c r="E12" s="27" t="n">
        <x:v>15930</x:v>
      </x:c>
      <x:c r="F12" s="28" t="n">
        <x:v>0</x:v>
      </x:c>
    </x:row>
    <x:row r="13" ht="20" customHeight="1">
      <x:c r="A13" s="17" t="str">
        <x:v>P0165</x:v>
      </x:c>
      <x:c r="B13" s="17" t="str">
        <x:v>Q06</x:v>
      </x:c>
      <x:c r="C13" s="27" t="n">
        <x:v>168000</x:v>
      </x:c>
      <x:c r="D13" s="27" t="n">
        <x:v>0</x:v>
      </x:c>
      <x:c r="E13" s="27" t="n">
        <x:v>168000</x:v>
      </x:c>
      <x:c r="F13" s="28" t="n">
        <x:v>0</x:v>
      </x:c>
    </x:row>
    <x:row r="14" ht="20" customHeight="1">
      <x:c r="A14" s="17" t="str">
        <x:v>P0059</x:v>
      </x:c>
      <x:c r="B14" s="17" t="str">
        <x:v>Q08</x:v>
      </x:c>
      <x:c r="C14" s="27" t="n">
        <x:v>619500</x:v>
      </x:c>
      <x:c r="D14" s="27" t="n">
        <x:v>135000</x:v>
      </x:c>
      <x:c r="E14" s="27" t="n">
        <x:v>484500</x:v>
      </x:c>
      <x:c r="F14" s="28" t="n">
        <x:v>0.2179176755447942</x:v>
      </x:c>
    </x:row>
    <x:row r="15" ht="20" customHeight="1">
      <x:c r="A15" s="17" t="str">
        <x:v>P0060</x:v>
      </x:c>
      <x:c r="B15" s="17" t="str">
        <x:v>Q09</x:v>
      </x:c>
      <x:c r="C15" s="27" t="n">
        <x:v>63720</x:v>
      </x:c>
      <x:c r="D15" s="27" t="n">
        <x:v>0</x:v>
      </x:c>
      <x:c r="E15" s="27" t="n">
        <x:v>63720</x:v>
      </x:c>
      <x:c r="F15" s="28" t="n">
        <x:v>0</x:v>
      </x:c>
    </x:row>
    <x:row r="16" ht="20" customHeight="1">
      <x:c r="A16" s="17" t="str">
        <x:v>P0061</x:v>
      </x:c>
      <x:c r="B16" s="17" t="str">
        <x:v>Q10</x:v>
      </x:c>
      <x:c r="C16" s="27" t="n">
        <x:v>21924</x:v>
      </x:c>
      <x:c r="D16" s="27" t="n">
        <x:v>0</x:v>
      </x:c>
      <x:c r="E16" s="27" t="n">
        <x:v>21924</x:v>
      </x:c>
      <x:c r="F16" s="28" t="n">
        <x:v>0</x:v>
      </x:c>
    </x:row>
    <x:row r="17" ht="20" customHeight="1">
      <x:c r="A17" s="17" t="str">
        <x:v>P0022</x:v>
      </x:c>
      <x:c r="B17" s="17" t="str">
        <x:v>Q11</x:v>
      </x:c>
      <x:c r="C17" s="27" t="n">
        <x:v>864000</x:v>
      </x:c>
      <x:c r="D17" s="27" t="n">
        <x:v>0</x:v>
      </x:c>
      <x:c r="E17" s="27" t="n">
        <x:v>864000</x:v>
      </x:c>
      <x:c r="F17" s="28" t="n">
        <x:v>0</x:v>
      </x:c>
    </x:row>
    <x:row r="18" ht="20" customHeight="1">
      <x:c r="A18" s="17" t="str">
        <x:v>P0157</x:v>
      </x:c>
      <x:c r="B18" s="17" t="str">
        <x:v>Q06</x:v>
      </x:c>
      <x:c r="C18" s="27" t="n">
        <x:v>120000</x:v>
      </x:c>
      <x:c r="D18" s="27" t="n">
        <x:v>0</x:v>
      </x:c>
      <x:c r="E18" s="27" t="n">
        <x:v>120000</x:v>
      </x:c>
      <x:c r="F18" s="28" t="n">
        <x:v>0</x:v>
      </x:c>
    </x:row>
    <x:row r="19" ht="20" customHeight="1">
      <x:c r="A19" s="17" t="str">
        <x:v>P0163</x:v>
      </x:c>
      <x:c r="B19" s="17" t="str">
        <x:v>Q06</x:v>
      </x:c>
      <x:c r="C19" s="27" t="n">
        <x:v>817000</x:v>
      </x:c>
      <x:c r="D19" s="27" t="n">
        <x:v>430000</x:v>
      </x:c>
      <x:c r="E19" s="27" t="n">
        <x:v>387000</x:v>
      </x:c>
      <x:c r="F19" s="28" t="n">
        <x:v>0.5263157894736842</x:v>
      </x:c>
    </x:row>
    <x:row r="20" ht="20" customHeight="1">
      <x:c r="A20" s="17" t="str">
        <x:v>P0064</x:v>
      </x:c>
      <x:c r="B20" s="17" t="str">
        <x:v>Q12</x:v>
      </x:c>
      <x:c r="C20" s="27" t="n">
        <x:v>148000</x:v>
      </x:c>
      <x:c r="D20" s="27" t="n">
        <x:v>148000</x:v>
      </x:c>
      <x:c r="E20" s="27" t="n">
        <x:v>0</x:v>
      </x:c>
      <x:c r="F20" s="28" t="n">
        <x:v>1</x:v>
      </x:c>
    </x:row>
    <x:row r="21" ht="20" customHeight="1">
      <x:c r="A21" s="17" t="str">
        <x:v>P0027</x:v>
      </x:c>
      <x:c r="B21" s="17" t="str">
        <x:v>Q03</x:v>
      </x:c>
      <x:c r="C21" s="27" t="n">
        <x:v>52000</x:v>
      </x:c>
      <x:c r="D21" s="27" t="n">
        <x:v>0</x:v>
      </x:c>
      <x:c r="E21" s="27" t="n">
        <x:v>52000</x:v>
      </x:c>
      <x:c r="F21" s="28" t="n">
        <x:v>0</x:v>
      </x:c>
    </x:row>
    <x:row r="22" ht="20" customHeight="1">
      <x:c r="A22" s="17" t="str">
        <x:v>P0025</x:v>
      </x:c>
      <x:c r="B22" s="17" t="str">
        <x:v>Q03</x:v>
      </x:c>
      <x:c r="C22" s="27" t="n">
        <x:v>634000</x:v>
      </x:c>
      <x:c r="D22" s="27" t="n">
        <x:v>0</x:v>
      </x:c>
      <x:c r="E22" s="27" t="n">
        <x:v>634000</x:v>
      </x:c>
      <x:c r="F22" s="28" t="n">
        <x:v>0</x:v>
      </x:c>
    </x:row>
    <x:row r="23" ht="20" customHeight="1">
      <x:c r="A23" s="17" t="str">
        <x:v>P0004</x:v>
      </x:c>
      <x:c r="B23" s="17" t="str">
        <x:v>Q02</x:v>
      </x:c>
      <x:c r="C23" s="27" t="n">
        <x:v>525000</x:v>
      </x:c>
      <x:c r="D23" s="27" t="n">
        <x:v>350000</x:v>
      </x:c>
      <x:c r="E23" s="27" t="n">
        <x:v>175000</x:v>
      </x:c>
      <x:c r="F23" s="28" t="n">
        <x:v>0.6666666666666666</x:v>
      </x:c>
    </x:row>
    <x:row r="24" ht="20" customHeight="1">
      <x:c r="A24" s="17" t="str">
        <x:v>P0070</x:v>
      </x:c>
      <x:c r="B24" s="17" t="str">
        <x:v>Q03</x:v>
      </x:c>
      <x:c r="C24" s="27" t="n">
        <x:v>420000</x:v>
      </x:c>
      <x:c r="D24" s="27" t="n">
        <x:v>420000</x:v>
      </x:c>
      <x:c r="E24" s="27" t="n">
        <x:v>0</x:v>
      </x:c>
      <x:c r="F24" s="28" t="n">
        <x:v>1</x:v>
      </x:c>
    </x:row>
    <x:row r="25" ht="20" customHeight="1">
      <x:c r="A25" s="17" t="str">
        <x:v>P0011</x:v>
      </x:c>
      <x:c r="B25" s="17" t="str">
        <x:v>Q03</x:v>
      </x:c>
      <x:c r="C25" s="27" t="n">
        <x:v>234000</x:v>
      </x:c>
      <x:c r="D25" s="27" t="n">
        <x:v>30000</x:v>
      </x:c>
      <x:c r="E25" s="27" t="n">
        <x:v>204000</x:v>
      </x:c>
      <x:c r="F25" s="28" t="n">
        <x:v>0.1282051282051282</x:v>
      </x:c>
    </x:row>
    <x:row r="26" ht="20" customHeight="1">
      <x:c r="A26" s="17" t="str">
        <x:v>P0017</x:v>
      </x:c>
      <x:c r="B26" s="17" t="str">
        <x:v>Q03</x:v>
      </x:c>
      <x:c r="C26" s="27" t="n">
        <x:v>294000</x:v>
      </x:c>
      <x:c r="D26" s="27" t="n">
        <x:v>0</x:v>
      </x:c>
      <x:c r="E26" s="27" t="n">
        <x:v>294000</x:v>
      </x:c>
      <x:c r="F26" s="28" t="n">
        <x:v>0</x:v>
      </x:c>
    </x:row>
    <x:row r="27" ht="20" customHeight="1">
      <x:c r="A27" s="17" t="str">
        <x:v>P0016</x:v>
      </x:c>
      <x:c r="B27" s="17" t="str">
        <x:v>Q03</x:v>
      </x:c>
      <x:c r="C27" s="27" t="n">
        <x:v>378000</x:v>
      </x:c>
      <x:c r="D27" s="27" t="n">
        <x:v>0</x:v>
      </x:c>
      <x:c r="E27" s="27" t="n">
        <x:v>378000</x:v>
      </x:c>
      <x:c r="F27" s="28" t="n">
        <x:v>0</x:v>
      </x:c>
    </x:row>
    <x:row r="28" ht="20" customHeight="1">
      <x:c r="A28" s="17" t="str">
        <x:v>P0043</x:v>
      </x:c>
      <x:c r="B28" s="17" t="str">
        <x:v>Q04</x:v>
      </x:c>
      <x:c r="C28" s="27" t="n">
        <x:v>350000</x:v>
      </x:c>
      <x:c r="D28" s="27" t="n">
        <x:v>350000</x:v>
      </x:c>
      <x:c r="E28" s="27" t="n">
        <x:v>0</x:v>
      </x:c>
      <x:c r="F28" s="28" t="n">
        <x:v>1</x:v>
      </x:c>
    </x:row>
    <x:row r="29" ht="20" customHeight="1">
      <x:c r="A29" s="17" t="str">
        <x:v>P0013</x:v>
      </x:c>
      <x:c r="B29" s="17" t="str">
        <x:v>Q03</x:v>
      </x:c>
      <x:c r="C29" s="27" t="n">
        <x:v>1260000</x:v>
      </x:c>
      <x:c r="D29" s="27" t="n">
        <x:v>970000</x:v>
      </x:c>
      <x:c r="E29" s="27" t="n">
        <x:v>290000</x:v>
      </x:c>
      <x:c r="F29" s="28" t="n">
        <x:v>0.7698412698412699</x:v>
      </x:c>
    </x:row>
    <x:row r="30" ht="20" customHeight="1">
      <x:c r="A30" s="17" t="str">
        <x:v>P0014</x:v>
      </x:c>
      <x:c r="B30" s="17" t="str">
        <x:v>Q03</x:v>
      </x:c>
      <x:c r="C30" s="27" t="n">
        <x:v>3830000</x:v>
      </x:c>
      <x:c r="D30" s="27" t="n">
        <x:v>1330000</x:v>
      </x:c>
      <x:c r="E30" s="27" t="n">
        <x:v>2500000</x:v>
      </x:c>
      <x:c r="F30" s="28" t="n">
        <x:v>0.3472584856396867</x:v>
      </x:c>
    </x:row>
    <x:row r="31" ht="20" customHeight="1">
      <x:c r="A31" s="17" t="str">
        <x:v>P0015</x:v>
      </x:c>
      <x:c r="B31" s="17" t="str">
        <x:v>Q03</x:v>
      </x:c>
      <x:c r="C31" s="27" t="n">
        <x:v>70000</x:v>
      </x:c>
      <x:c r="D31" s="27" t="n">
        <x:v>0</x:v>
      </x:c>
      <x:c r="E31" s="27" t="n">
        <x:v>70000</x:v>
      </x:c>
      <x:c r="F31" s="28" t="n">
        <x:v>0</x:v>
      </x:c>
    </x:row>
  </x:sheetData>
  <x:mergeCells>
    <x:mergeCell ref="A1:F1"/>
    <x:mergeCell ref="A2:F2"/>
  </x:mergeCells>
  <x:conditionalFormatting sqref="F5:F31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18117551bef43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8" hidden="0" customWidth="1"/>
    <x:col min="4" max="4" width="11" hidden="0" customWidth="1"/>
    <x:col min="5" max="5" width="8" hidden="0" customWidth="1"/>
    <x:col min="6" max="6" width="14" hidden="0" customWidth="1"/>
    <x:col min="7" max="7" width="14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7" hidden="0" customWidth="1"/>
  </x:cols>
  <x:sheetData>
    <x:row r="1" ht="30" customHeight="1">
      <x:c r="A1" s="4" t="str">
        <x:v>基线方案｜瓶颈优先贪心排产明细</x:v>
      </x:c>
      <x:c r="B1" s="4" t="str">
        <x:v>基线方案｜瓶颈优先贪心排产明细</x:v>
      </x:c>
      <x:c r="C1" s="4" t="str">
        <x:v>基线方案｜瓶颈优先贪心排产明细</x:v>
      </x:c>
      <x:c r="D1" s="4" t="str">
        <x:v>基线方案｜瓶颈优先贪心排产明细</x:v>
      </x:c>
      <x:c r="E1" s="4" t="str">
        <x:v>基线方案｜瓶颈优先贪心排产明细</x:v>
      </x:c>
      <x:c r="F1" s="4" t="str">
        <x:v>基线方案｜瓶颈优先贪心排产明细</x:v>
      </x:c>
      <x:c r="G1" s="4" t="str">
        <x:v>基线方案｜瓶颈优先贪心排产明细</x:v>
      </x:c>
      <x:c r="H1" s="4" t="str">
        <x:v>基线方案｜瓶颈优先贪心排产明细</x:v>
      </x:c>
      <x:c r="I1" s="4" t="str">
        <x:v>基线方案｜瓶颈优先贪心排产明细</x:v>
      </x:c>
      <x:c r="J1" s="4" t="str">
        <x:v>基线方案｜瓶颈优先贪心排产明细</x:v>
      </x:c>
      <x:c r="K1" s="4" t="str">
        <x:v>基线方案｜瓶颈优先贪心排产明细</x:v>
      </x:c>
      <x:c r="L1" s="4" t="str">
        <x:v>基线方案｜瓶颈优先贪心排产明细</x:v>
      </x:c>
    </x:row>
    <x:row r="2" ht="22" customHeight="1">
      <x:c r="A2" s="8" t="str">
        <x:v>2025年第13周（3月3日至3月7日），14条产线×10个班次</x:v>
      </x:c>
      <x:c r="B2" s="8" t="str">
        <x:v>2025年第13周（3月3日至3月7日），14条产线×10个班次</x:v>
      </x:c>
      <x:c r="C2" s="8" t="str">
        <x:v>2025年第13周（3月3日至3月7日），14条产线×10个班次</x:v>
      </x:c>
      <x:c r="D2" s="8" t="str">
        <x:v>2025年第13周（3月3日至3月7日），14条产线×10个班次</x:v>
      </x:c>
      <x:c r="E2" s="8" t="str">
        <x:v>2025年第13周（3月3日至3月7日），14条产线×10个班次</x:v>
      </x:c>
      <x:c r="F2" s="8" t="str">
        <x:v>2025年第13周（3月3日至3月7日），14条产线×10个班次</x:v>
      </x:c>
      <x:c r="G2" s="8" t="str">
        <x:v>2025年第13周（3月3日至3月7日），14条产线×10个班次</x:v>
      </x:c>
      <x:c r="H2" s="8" t="str">
        <x:v>2025年第13周（3月3日至3月7日），14条产线×10个班次</x:v>
      </x:c>
      <x:c r="I2" s="8" t="str">
        <x:v>2025年第13周（3月3日至3月7日），14条产线×10个班次</x:v>
      </x:c>
      <x:c r="J2" s="8" t="str">
        <x:v>2025年第13周（3月3日至3月7日），14条产线×10个班次</x:v>
      </x:c>
      <x:c r="K2" s="8" t="str">
        <x:v>2025年第13周（3月3日至3月7日），14条产线×10个班次</x:v>
      </x:c>
      <x:c r="L2" s="8" t="str">
        <x:v>2025年第13周（3月3日至3月7日），14条产线×10个班次</x:v>
      </x:c>
    </x:row>
    <x:row r="4" ht="26" customHeight="1">
      <x:c r="A4" s="14" t="str">
        <x:v>﻿生产日期</x:v>
      </x:c>
      <x:c r="B4" s="14" t="str">
        <x:v>班次</x:v>
      </x:c>
      <x:c r="C4" s="14" t="str">
        <x:v>产线</x:v>
      </x:c>
      <x:c r="D4" s="14" t="str">
        <x:v>产品</x:v>
      </x:c>
      <x:c r="E4" s="14" t="str">
        <x:v>酒质</x:v>
      </x:c>
      <x:c r="F4" s="14" t="str">
        <x:v>计划生产量</x:v>
      </x:c>
      <x:c r="G4" s="14" t="str">
        <x:v>班次产能估计</x:v>
      </x:c>
      <x:c r="H4" s="14" t="str">
        <x:v>产能利用率</x:v>
      </x:c>
      <x:c r="I4" s="14" t="str">
        <x:v>产线偏好得分</x:v>
      </x:c>
      <x:c r="J4" s="14" t="str">
        <x:v>产品换产标记</x:v>
      </x:c>
      <x:c r="K4" s="14" t="str">
        <x:v>酒质切换标记</x:v>
      </x:c>
      <x:c r="L4" s="14" t="str">
        <x:v>模型</x:v>
      </x:c>
    </x:row>
    <x:row r="5" ht="20" customHeight="1">
      <x:c r="A5" s="22" t="str">
        <x:v>2025-03-03</x:v>
      </x:c>
      <x:c r="B5" s="22" t="str">
        <x:v>早班</x:v>
      </x:c>
      <x:c r="C5" s="22" t="str">
        <x:v>L01</x:v>
      </x:c>
      <x:c r="D5" s="22" t="str">
        <x:v>P0022</x:v>
      </x:c>
      <x:c r="E5" s="22" t="str">
        <x:v>Q11</x:v>
      </x:c>
      <x:c r="F5" s="27" t="n">
        <x:v>18000</x:v>
      </x:c>
      <x:c r="G5" s="27" t="n">
        <x:v>18000</x:v>
      </x:c>
      <x:c r="H5" s="28" t="n">
        <x:v>1</x:v>
      </x:c>
      <x:c r="I5" s="29" t="n">
        <x:v>0.925811</x:v>
      </x:c>
      <x:c r="J5" s="26" t="n">
        <x:v>0</x:v>
      </x:c>
      <x:c r="K5" s="26" t="n">
        <x:v>0</x:v>
      </x:c>
      <x:c r="L5" s="22" t="str">
        <x:v>瓶颈优先贪心</x:v>
      </x:c>
    </x:row>
    <x:row r="6" ht="20" customHeight="1">
      <x:c r="A6" s="22" t="str">
        <x:v>2025-03-03</x:v>
      </x:c>
      <x:c r="B6" s="22" t="str">
        <x:v>早班</x:v>
      </x:c>
      <x:c r="C6" s="22" t="str">
        <x:v>L02</x:v>
      </x:c>
      <x:c r="D6" s="22" t="str">
        <x:v>P0025</x:v>
      </x:c>
      <x:c r="E6" s="22" t="str">
        <x:v>Q03</x:v>
      </x:c>
      <x:c r="F6" s="27" t="n">
        <x:v>27073</x:v>
      </x:c>
      <x:c r="G6" s="27" t="n">
        <x:v>27073</x:v>
      </x:c>
      <x:c r="H6" s="28" t="n">
        <x:v>1</x:v>
      </x:c>
      <x:c r="I6" s="29" t="n">
        <x:v>0.6</x:v>
      </x:c>
      <x:c r="J6" s="26" t="n">
        <x:v>0</x:v>
      </x:c>
      <x:c r="K6" s="26" t="n">
        <x:v>0</x:v>
      </x:c>
      <x:c r="L6" s="22" t="str">
        <x:v>瓶颈优先贪心</x:v>
      </x:c>
    </x:row>
    <x:row r="7" ht="20" customHeight="1">
      <x:c r="A7" s="22" t="str">
        <x:v>2025-03-03</x:v>
      </x:c>
      <x:c r="B7" s="22" t="str">
        <x:v>早班</x:v>
      </x:c>
      <x:c r="C7" s="22" t="str">
        <x:v>L03</x:v>
      </x:c>
      <x:c r="D7" s="22" t="str">
        <x:v>P0014</x:v>
      </x:c>
      <x:c r="E7" s="22" t="str">
        <x:v>Q03</x:v>
      </x:c>
      <x:c r="F7" s="27" t="n">
        <x:v>35000</x:v>
      </x:c>
      <x:c r="G7" s="27" t="n">
        <x:v>35000</x:v>
      </x:c>
      <x:c r="H7" s="28" t="n">
        <x:v>1</x:v>
      </x:c>
      <x:c r="I7" s="29" t="n">
        <x:v>0.409808</x:v>
      </x:c>
      <x:c r="J7" s="26" t="n">
        <x:v>0</x:v>
      </x:c>
      <x:c r="K7" s="26" t="n">
        <x:v>0</x:v>
      </x:c>
      <x:c r="L7" s="22" t="str">
        <x:v>瓶颈优先贪心</x:v>
      </x:c>
    </x:row>
    <x:row r="8" ht="20" customHeight="1">
      <x:c r="A8" s="22" t="str">
        <x:v>2025-03-03</x:v>
      </x:c>
      <x:c r="B8" s="22" t="str">
        <x:v>早班</x:v>
      </x:c>
      <x:c r="C8" s="22" t="str">
        <x:v>L04</x:v>
      </x:c>
      <x:c r="D8" s="22" t="str">
        <x:v>P0163</x:v>
      </x:c>
      <x:c r="E8" s="22" t="str">
        <x:v>Q06</x:v>
      </x:c>
      <x:c r="F8" s="27" t="n">
        <x:v>21500</x:v>
      </x:c>
      <x:c r="G8" s="27" t="n">
        <x:v>21500</x:v>
      </x:c>
      <x:c r="H8" s="28" t="n">
        <x:v>1</x:v>
      </x:c>
      <x:c r="I8" s="29" t="n">
        <x:v>1</x:v>
      </x:c>
      <x:c r="J8" s="26" t="n">
        <x:v>0</x:v>
      </x:c>
      <x:c r="K8" s="26" t="n">
        <x:v>0</x:v>
      </x:c>
      <x:c r="L8" s="22" t="str">
        <x:v>瓶颈优先贪心</x:v>
      </x:c>
    </x:row>
    <x:row r="9" ht="20" customHeight="1">
      <x:c r="A9" s="22" t="str">
        <x:v>2025-03-03</x:v>
      </x:c>
      <x:c r="B9" s="22" t="str">
        <x:v>早班</x:v>
      </x:c>
      <x:c r="C9" s="22" t="str">
        <x:v>L05</x:v>
      </x:c>
      <x:c r="D9" s="22" t="str"/>
      <x:c r="E9" s="22" t="str"/>
      <x:c r="F9" s="27" t="n">
        <x:v>0</x:v>
      </x:c>
      <x:c r="G9" s="27" t="n">
        <x:v>0</x:v>
      </x:c>
      <x:c r="H9" s="28" t="n">
        <x:v>0</x:v>
      </x:c>
      <x:c r="I9" s="29" t="n">
        <x:v>0</x:v>
      </x:c>
      <x:c r="J9" s="26" t="n">
        <x:v>0</x:v>
      </x:c>
      <x:c r="K9" s="26" t="n">
        <x:v>0</x:v>
      </x:c>
      <x:c r="L9" s="22" t="str">
        <x:v>瓶颈优先贪心</x:v>
      </x:c>
    </x:row>
    <x:row r="10" ht="20" customHeight="1">
      <x:c r="A10" s="22" t="str">
        <x:v>2025-03-03</x:v>
      </x:c>
      <x:c r="B10" s="22" t="str">
        <x:v>早班</x:v>
      </x:c>
      <x:c r="C10" s="22" t="str">
        <x:v>L06</x:v>
      </x:c>
      <x:c r="D10" s="22" t="str">
        <x:v>P0014</x:v>
      </x:c>
      <x:c r="E10" s="22" t="str">
        <x:v>Q03</x:v>
      </x:c>
      <x:c r="F10" s="27" t="n">
        <x:v>34000</x:v>
      </x:c>
      <x:c r="G10" s="27" t="n">
        <x:v>34000</x:v>
      </x:c>
      <x:c r="H10" s="28" t="n">
        <x:v>1</x:v>
      </x:c>
      <x:c r="I10" s="29" t="n">
        <x:v>0.464246</x:v>
      </x:c>
      <x:c r="J10" s="26" t="n">
        <x:v>0</x:v>
      </x:c>
      <x:c r="K10" s="26" t="n">
        <x:v>0</x:v>
      </x:c>
      <x:c r="L10" s="22" t="str">
        <x:v>瓶颈优先贪心</x:v>
      </x:c>
    </x:row>
    <x:row r="11" ht="20" customHeight="1">
      <x:c r="A11" s="22" t="str">
        <x:v>2025-03-03</x:v>
      </x:c>
      <x:c r="B11" s="22" t="str">
        <x:v>早班</x:v>
      </x:c>
      <x:c r="C11" s="22" t="str">
        <x:v>L07</x:v>
      </x:c>
      <x:c r="D11" s="22" t="str">
        <x:v>P0163</x:v>
      </x:c>
      <x:c r="E11" s="22" t="str">
        <x:v>Q06</x:v>
      </x:c>
      <x:c r="F11" s="27" t="n">
        <x:v>21500</x:v>
      </x:c>
      <x:c r="G11" s="27" t="n">
        <x:v>21500</x:v>
      </x:c>
      <x:c r="H11" s="28" t="n">
        <x:v>1</x:v>
      </x:c>
      <x:c r="I11" s="29" t="n">
        <x:v>0.6</x:v>
      </x:c>
      <x:c r="J11" s="26" t="n">
        <x:v>0</x:v>
      </x:c>
      <x:c r="K11" s="26" t="n">
        <x:v>0</x:v>
      </x:c>
      <x:c r="L11" s="22" t="str">
        <x:v>瓶颈优先贪心</x:v>
      </x:c>
    </x:row>
    <x:row r="12" ht="20" customHeight="1">
      <x:c r="A12" s="22" t="str">
        <x:v>2025-03-03</x:v>
      </x:c>
      <x:c r="B12" s="22" t="str">
        <x:v>早班</x:v>
      </x:c>
      <x:c r="C12" s="22" t="str">
        <x:v>L08</x:v>
      </x:c>
      <x:c r="D12" s="22" t="str">
        <x:v>P0004</x:v>
      </x:c>
      <x:c r="E12" s="22" t="str">
        <x:v>Q02</x:v>
      </x:c>
      <x:c r="F12" s="27" t="n">
        <x:v>35000</x:v>
      </x:c>
      <x:c r="G12" s="27" t="n">
        <x:v>35000</x:v>
      </x:c>
      <x:c r="H12" s="28" t="n">
        <x:v>1</x:v>
      </x:c>
      <x:c r="I12" s="29" t="n">
        <x:v>1</x:v>
      </x:c>
      <x:c r="J12" s="26" t="n">
        <x:v>0</x:v>
      </x:c>
      <x:c r="K12" s="26" t="n">
        <x:v>0</x:v>
      </x:c>
      <x:c r="L12" s="22" t="str">
        <x:v>瓶颈优先贪心</x:v>
      </x:c>
    </x:row>
    <x:row r="13" ht="20" customHeight="1">
      <x:c r="A13" s="22" t="str">
        <x:v>2025-03-03</x:v>
      </x:c>
      <x:c r="B13" s="22" t="str">
        <x:v>早班</x:v>
      </x:c>
      <x:c r="C13" s="22" t="str">
        <x:v>L09</x:v>
      </x:c>
      <x:c r="D13" s="22" t="str">
        <x:v>P0016</x:v>
      </x:c>
      <x:c r="E13" s="22" t="str">
        <x:v>Q03</x:v>
      </x:c>
      <x:c r="F13" s="27" t="n">
        <x:v>1056</x:v>
      </x:c>
      <x:c r="G13" s="27" t="n">
        <x:v>1056</x:v>
      </x:c>
      <x:c r="H13" s="28" t="n">
        <x:v>1</x:v>
      </x:c>
      <x:c r="I13" s="29" t="n">
        <x:v>1</x:v>
      </x:c>
      <x:c r="J13" s="26" t="n">
        <x:v>0</x:v>
      </x:c>
      <x:c r="K13" s="26" t="n">
        <x:v>0</x:v>
      </x:c>
      <x:c r="L13" s="22" t="str">
        <x:v>瓶颈优先贪心</x:v>
      </x:c>
    </x:row>
    <x:row r="14" ht="20" customHeight="1">
      <x:c r="A14" s="22" t="str">
        <x:v>2025-03-03</x:v>
      </x:c>
      <x:c r="B14" s="22" t="str">
        <x:v>早班</x:v>
      </x:c>
      <x:c r="C14" s="22" t="str">
        <x:v>L10</x:v>
      </x:c>
      <x:c r="D14" s="22" t="str">
        <x:v>P0014</x:v>
      </x:c>
      <x:c r="E14" s="22" t="str">
        <x:v>Q03</x:v>
      </x:c>
      <x:c r="F14" s="27" t="n">
        <x:v>110000</x:v>
      </x:c>
      <x:c r="G14" s="27" t="n">
        <x:v>110000</x:v>
      </x:c>
      <x:c r="H14" s="28" t="n">
        <x:v>1</x:v>
      </x:c>
      <x:c r="I14" s="29" t="n">
        <x:v>0.877029</x:v>
      </x:c>
      <x:c r="J14" s="26" t="n">
        <x:v>0</x:v>
      </x:c>
      <x:c r="K14" s="26" t="n">
        <x:v>0</x:v>
      </x:c>
      <x:c r="L14" s="22" t="str">
        <x:v>瓶颈优先贪心</x:v>
      </x:c>
    </x:row>
    <x:row r="15" ht="20" customHeight="1">
      <x:c r="A15" s="22" t="str">
        <x:v>2025-03-03</x:v>
      </x:c>
      <x:c r="B15" s="22" t="str">
        <x:v>早班</x:v>
      </x:c>
      <x:c r="C15" s="22" t="str">
        <x:v>L11</x:v>
      </x:c>
      <x:c r="D15" s="22" t="str">
        <x:v>P0014</x:v>
      </x:c>
      <x:c r="E15" s="22" t="str">
        <x:v>Q03</x:v>
      </x:c>
      <x:c r="F15" s="27" t="n">
        <x:v>35000</x:v>
      </x:c>
      <x:c r="G15" s="27" t="n">
        <x:v>35000</x:v>
      </x:c>
      <x:c r="H15" s="28" t="n">
        <x:v>1</x:v>
      </x:c>
      <x:c r="I15" s="29" t="n">
        <x:v>0.581461</x:v>
      </x:c>
      <x:c r="J15" s="26" t="n">
        <x:v>0</x:v>
      </x:c>
      <x:c r="K15" s="26" t="n">
        <x:v>0</x:v>
      </x:c>
      <x:c r="L15" s="22" t="str">
        <x:v>瓶颈优先贪心</x:v>
      </x:c>
    </x:row>
    <x:row r="16" ht="20" customHeight="1">
      <x:c r="A16" s="22" t="str">
        <x:v>2025-03-03</x:v>
      </x:c>
      <x:c r="B16" s="22" t="str">
        <x:v>早班</x:v>
      </x:c>
      <x:c r="C16" s="22" t="str">
        <x:v>L12</x:v>
      </x:c>
      <x:c r="D16" s="22" t="str">
        <x:v>P0014</x:v>
      </x:c>
      <x:c r="E16" s="22" t="str">
        <x:v>Q03</x:v>
      </x:c>
      <x:c r="F16" s="27" t="n">
        <x:v>35000</x:v>
      </x:c>
      <x:c r="G16" s="27" t="n">
        <x:v>35000</x:v>
      </x:c>
      <x:c r="H16" s="28" t="n">
        <x:v>1</x:v>
      </x:c>
      <x:c r="I16" s="29" t="n">
        <x:v>0.44839</x:v>
      </x:c>
      <x:c r="J16" s="26" t="n">
        <x:v>0</x:v>
      </x:c>
      <x:c r="K16" s="26" t="n">
        <x:v>0</x:v>
      </x:c>
      <x:c r="L16" s="22" t="str">
        <x:v>瓶颈优先贪心</x:v>
      </x:c>
    </x:row>
    <x:row r="17" ht="20" customHeight="1">
      <x:c r="A17" s="22" t="str">
        <x:v>2025-03-03</x:v>
      </x:c>
      <x:c r="B17" s="22" t="str">
        <x:v>早班</x:v>
      </x:c>
      <x:c r="C17" s="22" t="str">
        <x:v>L13</x:v>
      </x:c>
      <x:c r="D17" s="22" t="str">
        <x:v>P0059</x:v>
      </x:c>
      <x:c r="E17" s="22" t="str">
        <x:v>Q08</x:v>
      </x:c>
      <x:c r="F17" s="27" t="n">
        <x:v>13500</x:v>
      </x:c>
      <x:c r="G17" s="27" t="n">
        <x:v>13500</x:v>
      </x:c>
      <x:c r="H17" s="28" t="n">
        <x:v>1</x:v>
      </x:c>
      <x:c r="I17" s="29" t="n">
        <x:v>0.8</x:v>
      </x:c>
      <x:c r="J17" s="26" t="n">
        <x:v>0</x:v>
      </x:c>
      <x:c r="K17" s="26" t="n">
        <x:v>0</x:v>
      </x:c>
      <x:c r="L17" s="22" t="str">
        <x:v>瓶颈优先贪心</x:v>
      </x:c>
    </x:row>
    <x:row r="18" ht="20" customHeight="1">
      <x:c r="A18" s="22" t="str">
        <x:v>2025-03-03</x:v>
      </x:c>
      <x:c r="B18" s="22" t="str">
        <x:v>早班</x:v>
      </x:c>
      <x:c r="C18" s="22" t="str">
        <x:v>L14</x:v>
      </x:c>
      <x:c r="D18" s="22" t="str">
        <x:v>P0059</x:v>
      </x:c>
      <x:c r="E18" s="22" t="str">
        <x:v>Q08</x:v>
      </x:c>
      <x:c r="F18" s="27" t="n">
        <x:v>13000</x:v>
      </x:c>
      <x:c r="G18" s="27" t="n">
        <x:v>13000</x:v>
      </x:c>
      <x:c r="H18" s="28" t="n">
        <x:v>1</x:v>
      </x:c>
      <x:c r="I18" s="29" t="n">
        <x:v>0.4</x:v>
      </x:c>
      <x:c r="J18" s="26" t="n">
        <x:v>0</x:v>
      </x:c>
      <x:c r="K18" s="26" t="n">
        <x:v>0</x:v>
      </x:c>
      <x:c r="L18" s="22" t="str">
        <x:v>瓶颈优先贪心</x:v>
      </x:c>
    </x:row>
    <x:row r="19" ht="20" customHeight="1">
      <x:c r="A19" s="22" t="str">
        <x:v>2025-03-03</x:v>
      </x:c>
      <x:c r="B19" s="22" t="str">
        <x:v>中班</x:v>
      </x:c>
      <x:c r="C19" s="22" t="str">
        <x:v>L01</x:v>
      </x:c>
      <x:c r="D19" s="22" t="str">
        <x:v>P0022</x:v>
      </x:c>
      <x:c r="E19" s="22" t="str">
        <x:v>Q11</x:v>
      </x:c>
      <x:c r="F19" s="27" t="n">
        <x:v>18000</x:v>
      </x:c>
      <x:c r="G19" s="27" t="n">
        <x:v>18000</x:v>
      </x:c>
      <x:c r="H19" s="28" t="n">
        <x:v>1</x:v>
      </x:c>
      <x:c r="I19" s="29" t="n">
        <x:v>0.925811</x:v>
      </x:c>
      <x:c r="J19" s="26" t="n">
        <x:v>0</x:v>
      </x:c>
      <x:c r="K19" s="26" t="n">
        <x:v>0</x:v>
      </x:c>
      <x:c r="L19" s="22" t="str">
        <x:v>瓶颈优先贪心</x:v>
      </x:c>
    </x:row>
    <x:row r="20" ht="20" customHeight="1">
      <x:c r="A20" s="22" t="str">
        <x:v>2025-03-03</x:v>
      </x:c>
      <x:c r="B20" s="22" t="str">
        <x:v>中班</x:v>
      </x:c>
      <x:c r="C20" s="22" t="str">
        <x:v>L02</x:v>
      </x:c>
      <x:c r="D20" s="22" t="str">
        <x:v>P0025</x:v>
      </x:c>
      <x:c r="E20" s="22" t="str">
        <x:v>Q03</x:v>
      </x:c>
      <x:c r="F20" s="27" t="n">
        <x:v>27073</x:v>
      </x:c>
      <x:c r="G20" s="27" t="n">
        <x:v>27073</x:v>
      </x:c>
      <x:c r="H20" s="28" t="n">
        <x:v>1</x:v>
      </x:c>
      <x:c r="I20" s="29" t="n">
        <x:v>0.6</x:v>
      </x:c>
      <x:c r="J20" s="26" t="n">
        <x:v>0</x:v>
      </x:c>
      <x:c r="K20" s="26" t="n">
        <x:v>0</x:v>
      </x:c>
      <x:c r="L20" s="22" t="str">
        <x:v>瓶颈优先贪心</x:v>
      </x:c>
    </x:row>
    <x:row r="21" ht="20" customHeight="1">
      <x:c r="A21" s="22" t="str">
        <x:v>2025-03-03</x:v>
      </x:c>
      <x:c r="B21" s="22" t="str">
        <x:v>中班</x:v>
      </x:c>
      <x:c r="C21" s="22" t="str">
        <x:v>L03</x:v>
      </x:c>
      <x:c r="D21" s="22" t="str">
        <x:v>P0014</x:v>
      </x:c>
      <x:c r="E21" s="22" t="str">
        <x:v>Q03</x:v>
      </x:c>
      <x:c r="F21" s="27" t="n">
        <x:v>35000</x:v>
      </x:c>
      <x:c r="G21" s="27" t="n">
        <x:v>35000</x:v>
      </x:c>
      <x:c r="H21" s="28" t="n">
        <x:v>1</x:v>
      </x:c>
      <x:c r="I21" s="29" t="n">
        <x:v>0.409808</x:v>
      </x:c>
      <x:c r="J21" s="26" t="n">
        <x:v>0</x:v>
      </x:c>
      <x:c r="K21" s="26" t="n">
        <x:v>0</x:v>
      </x:c>
      <x:c r="L21" s="22" t="str">
        <x:v>瓶颈优先贪心</x:v>
      </x:c>
    </x:row>
    <x:row r="22" ht="20" customHeight="1">
      <x:c r="A22" s="22" t="str">
        <x:v>2025-03-03</x:v>
      </x:c>
      <x:c r="B22" s="22" t="str">
        <x:v>中班</x:v>
      </x:c>
      <x:c r="C22" s="22" t="str">
        <x:v>L04</x:v>
      </x:c>
      <x:c r="D22" s="22" t="str">
        <x:v>P0163</x:v>
      </x:c>
      <x:c r="E22" s="22" t="str">
        <x:v>Q06</x:v>
      </x:c>
      <x:c r="F22" s="27" t="n">
        <x:v>21500</x:v>
      </x:c>
      <x:c r="G22" s="27" t="n">
        <x:v>21500</x:v>
      </x:c>
      <x:c r="H22" s="28" t="n">
        <x:v>1</x:v>
      </x:c>
      <x:c r="I22" s="29" t="n">
        <x:v>1</x:v>
      </x:c>
      <x:c r="J22" s="26" t="n">
        <x:v>0</x:v>
      </x:c>
      <x:c r="K22" s="26" t="n">
        <x:v>0</x:v>
      </x:c>
      <x:c r="L22" s="22" t="str">
        <x:v>瓶颈优先贪心</x:v>
      </x:c>
    </x:row>
    <x:row r="23" ht="20" customHeight="1">
      <x:c r="A23" s="22" t="str">
        <x:v>2025-03-03</x:v>
      </x:c>
      <x:c r="B23" s="22" t="str">
        <x:v>中班</x:v>
      </x:c>
      <x:c r="C23" s="22" t="str">
        <x:v>L05</x:v>
      </x:c>
      <x:c r="D23" s="22" t="str"/>
      <x:c r="E23" s="22" t="str"/>
      <x:c r="F23" s="27" t="n">
        <x:v>0</x:v>
      </x:c>
      <x:c r="G23" s="27" t="n">
        <x:v>0</x:v>
      </x:c>
      <x:c r="H23" s="28" t="n">
        <x:v>0</x:v>
      </x:c>
      <x:c r="I23" s="29" t="n">
        <x:v>0</x:v>
      </x:c>
      <x:c r="J23" s="26" t="n">
        <x:v>0</x:v>
      </x:c>
      <x:c r="K23" s="26" t="n">
        <x:v>0</x:v>
      </x:c>
      <x:c r="L23" s="22" t="str">
        <x:v>瓶颈优先贪心</x:v>
      </x:c>
    </x:row>
    <x:row r="24" ht="20" customHeight="1">
      <x:c r="A24" s="22" t="str">
        <x:v>2025-03-03</x:v>
      </x:c>
      <x:c r="B24" s="22" t="str">
        <x:v>中班</x:v>
      </x:c>
      <x:c r="C24" s="22" t="str">
        <x:v>L06</x:v>
      </x:c>
      <x:c r="D24" s="22" t="str">
        <x:v>P0014</x:v>
      </x:c>
      <x:c r="E24" s="22" t="str">
        <x:v>Q03</x:v>
      </x:c>
      <x:c r="F24" s="27" t="n">
        <x:v>34000</x:v>
      </x:c>
      <x:c r="G24" s="27" t="n">
        <x:v>34000</x:v>
      </x:c>
      <x:c r="H24" s="28" t="n">
        <x:v>1</x:v>
      </x:c>
      <x:c r="I24" s="29" t="n">
        <x:v>0.464246</x:v>
      </x:c>
      <x:c r="J24" s="26" t="n">
        <x:v>0</x:v>
      </x:c>
      <x:c r="K24" s="26" t="n">
        <x:v>0</x:v>
      </x:c>
      <x:c r="L24" s="22" t="str">
        <x:v>瓶颈优先贪心</x:v>
      </x:c>
    </x:row>
    <x:row r="25" ht="20" customHeight="1">
      <x:c r="A25" s="22" t="str">
        <x:v>2025-03-03</x:v>
      </x:c>
      <x:c r="B25" s="22" t="str">
        <x:v>中班</x:v>
      </x:c>
      <x:c r="C25" s="22" t="str">
        <x:v>L07</x:v>
      </x:c>
      <x:c r="D25" s="22" t="str">
        <x:v>P0163</x:v>
      </x:c>
      <x:c r="E25" s="22" t="str">
        <x:v>Q06</x:v>
      </x:c>
      <x:c r="F25" s="27" t="n">
        <x:v>21500</x:v>
      </x:c>
      <x:c r="G25" s="27" t="n">
        <x:v>21500</x:v>
      </x:c>
      <x:c r="H25" s="28" t="n">
        <x:v>1</x:v>
      </x:c>
      <x:c r="I25" s="29" t="n">
        <x:v>0.6</x:v>
      </x:c>
      <x:c r="J25" s="26" t="n">
        <x:v>0</x:v>
      </x:c>
      <x:c r="K25" s="26" t="n">
        <x:v>0</x:v>
      </x:c>
      <x:c r="L25" s="22" t="str">
        <x:v>瓶颈优先贪心</x:v>
      </x:c>
    </x:row>
    <x:row r="26" ht="20" customHeight="1">
      <x:c r="A26" s="22" t="str">
        <x:v>2025-03-03</x:v>
      </x:c>
      <x:c r="B26" s="22" t="str">
        <x:v>中班</x:v>
      </x:c>
      <x:c r="C26" s="22" t="str">
        <x:v>L08</x:v>
      </x:c>
      <x:c r="D26" s="22" t="str">
        <x:v>P0004</x:v>
      </x:c>
      <x:c r="E26" s="22" t="str">
        <x:v>Q02</x:v>
      </x:c>
      <x:c r="F26" s="27" t="n">
        <x:v>35000</x:v>
      </x:c>
      <x:c r="G26" s="27" t="n">
        <x:v>35000</x:v>
      </x:c>
      <x:c r="H26" s="28" t="n">
        <x:v>1</x:v>
      </x:c>
      <x:c r="I26" s="29" t="n">
        <x:v>1</x:v>
      </x:c>
      <x:c r="J26" s="26" t="n">
        <x:v>0</x:v>
      </x:c>
      <x:c r="K26" s="26" t="n">
        <x:v>0</x:v>
      </x:c>
      <x:c r="L26" s="22" t="str">
        <x:v>瓶颈优先贪心</x:v>
      </x:c>
    </x:row>
    <x:row r="27" ht="20" customHeight="1">
      <x:c r="A27" s="22" t="str">
        <x:v>2025-03-03</x:v>
      </x:c>
      <x:c r="B27" s="22" t="str">
        <x:v>中班</x:v>
      </x:c>
      <x:c r="C27" s="22" t="str">
        <x:v>L09</x:v>
      </x:c>
      <x:c r="D27" s="22" t="str">
        <x:v>P0016</x:v>
      </x:c>
      <x:c r="E27" s="22" t="str">
        <x:v>Q03</x:v>
      </x:c>
      <x:c r="F27" s="27" t="n">
        <x:v>1056</x:v>
      </x:c>
      <x:c r="G27" s="27" t="n">
        <x:v>1056</x:v>
      </x:c>
      <x:c r="H27" s="28" t="n">
        <x:v>1</x:v>
      </x:c>
      <x:c r="I27" s="29" t="n">
        <x:v>1</x:v>
      </x:c>
      <x:c r="J27" s="26" t="n">
        <x:v>0</x:v>
      </x:c>
      <x:c r="K27" s="26" t="n">
        <x:v>0</x:v>
      </x:c>
      <x:c r="L27" s="22" t="str">
        <x:v>瓶颈优先贪心</x:v>
      </x:c>
    </x:row>
    <x:row r="28" ht="20" customHeight="1">
      <x:c r="A28" s="22" t="str">
        <x:v>2025-03-03</x:v>
      </x:c>
      <x:c r="B28" s="22" t="str">
        <x:v>中班</x:v>
      </x:c>
      <x:c r="C28" s="22" t="str">
        <x:v>L10</x:v>
      </x:c>
      <x:c r="D28" s="22" t="str">
        <x:v>P0014</x:v>
      </x:c>
      <x:c r="E28" s="22" t="str">
        <x:v>Q03</x:v>
      </x:c>
      <x:c r="F28" s="27" t="n">
        <x:v>110000</x:v>
      </x:c>
      <x:c r="G28" s="27" t="n">
        <x:v>110000</x:v>
      </x:c>
      <x:c r="H28" s="28" t="n">
        <x:v>1</x:v>
      </x:c>
      <x:c r="I28" s="29" t="n">
        <x:v>0.877029</x:v>
      </x:c>
      <x:c r="J28" s="26" t="n">
        <x:v>0</x:v>
      </x:c>
      <x:c r="K28" s="26" t="n">
        <x:v>0</x:v>
      </x:c>
      <x:c r="L28" s="22" t="str">
        <x:v>瓶颈优先贪心</x:v>
      </x:c>
    </x:row>
    <x:row r="29" ht="20" customHeight="1">
      <x:c r="A29" s="22" t="str">
        <x:v>2025-03-03</x:v>
      </x:c>
      <x:c r="B29" s="22" t="str">
        <x:v>中班</x:v>
      </x:c>
      <x:c r="C29" s="22" t="str">
        <x:v>L11</x:v>
      </x:c>
      <x:c r="D29" s="22" t="str">
        <x:v>P0014</x:v>
      </x:c>
      <x:c r="E29" s="22" t="str">
        <x:v>Q03</x:v>
      </x:c>
      <x:c r="F29" s="27" t="n">
        <x:v>35000</x:v>
      </x:c>
      <x:c r="G29" s="27" t="n">
        <x:v>35000</x:v>
      </x:c>
      <x:c r="H29" s="28" t="n">
        <x:v>1</x:v>
      </x:c>
      <x:c r="I29" s="29" t="n">
        <x:v>0.581461</x:v>
      </x:c>
      <x:c r="J29" s="26" t="n">
        <x:v>0</x:v>
      </x:c>
      <x:c r="K29" s="26" t="n">
        <x:v>0</x:v>
      </x:c>
      <x:c r="L29" s="22" t="str">
        <x:v>瓶颈优先贪心</x:v>
      </x:c>
    </x:row>
    <x:row r="30" ht="20" customHeight="1">
      <x:c r="A30" s="22" t="str">
        <x:v>2025-03-03</x:v>
      </x:c>
      <x:c r="B30" s="22" t="str">
        <x:v>中班</x:v>
      </x:c>
      <x:c r="C30" s="22" t="str">
        <x:v>L12</x:v>
      </x:c>
      <x:c r="D30" s="22" t="str">
        <x:v>P0014</x:v>
      </x:c>
      <x:c r="E30" s="22" t="str">
        <x:v>Q03</x:v>
      </x:c>
      <x:c r="F30" s="27" t="n">
        <x:v>35000</x:v>
      </x:c>
      <x:c r="G30" s="27" t="n">
        <x:v>35000</x:v>
      </x:c>
      <x:c r="H30" s="28" t="n">
        <x:v>1</x:v>
      </x:c>
      <x:c r="I30" s="29" t="n">
        <x:v>0.44839</x:v>
      </x:c>
      <x:c r="J30" s="26" t="n">
        <x:v>0</x:v>
      </x:c>
      <x:c r="K30" s="26" t="n">
        <x:v>0</x:v>
      </x:c>
      <x:c r="L30" s="22" t="str">
        <x:v>瓶颈优先贪心</x:v>
      </x:c>
    </x:row>
    <x:row r="31" ht="20" customHeight="1">
      <x:c r="A31" s="22" t="str">
        <x:v>2025-03-03</x:v>
      </x:c>
      <x:c r="B31" s="22" t="str">
        <x:v>中班</x:v>
      </x:c>
      <x:c r="C31" s="22" t="str">
        <x:v>L13</x:v>
      </x:c>
      <x:c r="D31" s="22" t="str">
        <x:v>P0059</x:v>
      </x:c>
      <x:c r="E31" s="22" t="str">
        <x:v>Q08</x:v>
      </x:c>
      <x:c r="F31" s="27" t="n">
        <x:v>13500</x:v>
      </x:c>
      <x:c r="G31" s="27" t="n">
        <x:v>13500</x:v>
      </x:c>
      <x:c r="H31" s="28" t="n">
        <x:v>1</x:v>
      </x:c>
      <x:c r="I31" s="29" t="n">
        <x:v>0.8</x:v>
      </x:c>
      <x:c r="J31" s="26" t="n">
        <x:v>0</x:v>
      </x:c>
      <x:c r="K31" s="26" t="n">
        <x:v>0</x:v>
      </x:c>
      <x:c r="L31" s="22" t="str">
        <x:v>瓶颈优先贪心</x:v>
      </x:c>
    </x:row>
    <x:row r="32" ht="20" customHeight="1">
      <x:c r="A32" s="22" t="str">
        <x:v>2025-03-03</x:v>
      </x:c>
      <x:c r="B32" s="22" t="str">
        <x:v>中班</x:v>
      </x:c>
      <x:c r="C32" s="22" t="str">
        <x:v>L14</x:v>
      </x:c>
      <x:c r="D32" s="22" t="str">
        <x:v>P0059</x:v>
      </x:c>
      <x:c r="E32" s="22" t="str">
        <x:v>Q08</x:v>
      </x:c>
      <x:c r="F32" s="27" t="n">
        <x:v>13000</x:v>
      </x:c>
      <x:c r="G32" s="27" t="n">
        <x:v>13000</x:v>
      </x:c>
      <x:c r="H32" s="28" t="n">
        <x:v>1</x:v>
      </x:c>
      <x:c r="I32" s="29" t="n">
        <x:v>0.4</x:v>
      </x:c>
      <x:c r="J32" s="26" t="n">
        <x:v>0</x:v>
      </x:c>
      <x:c r="K32" s="26" t="n">
        <x:v>0</x:v>
      </x:c>
      <x:c r="L32" s="22" t="str">
        <x:v>瓶颈优先贪心</x:v>
      </x:c>
    </x:row>
    <x:row r="33" ht="20" customHeight="1">
      <x:c r="A33" s="22" t="str">
        <x:v>2025-03-04</x:v>
      </x:c>
      <x:c r="B33" s="22" t="str">
        <x:v>早班</x:v>
      </x:c>
      <x:c r="C33" s="22" t="str">
        <x:v>L01</x:v>
      </x:c>
      <x:c r="D33" s="22" t="str">
        <x:v>P0022</x:v>
      </x:c>
      <x:c r="E33" s="22" t="str">
        <x:v>Q11</x:v>
      </x:c>
      <x:c r="F33" s="27" t="n">
        <x:v>18000</x:v>
      </x:c>
      <x:c r="G33" s="27" t="n">
        <x:v>18000</x:v>
      </x:c>
      <x:c r="H33" s="28" t="n">
        <x:v>1</x:v>
      </x:c>
      <x:c r="I33" s="29" t="n">
        <x:v>0.925811</x:v>
      </x:c>
      <x:c r="J33" s="26" t="n">
        <x:v>0</x:v>
      </x:c>
      <x:c r="K33" s="26" t="n">
        <x:v>0</x:v>
      </x:c>
      <x:c r="L33" s="22" t="str">
        <x:v>瓶颈优先贪心</x:v>
      </x:c>
    </x:row>
    <x:row r="34" ht="20" customHeight="1">
      <x:c r="A34" s="22" t="str">
        <x:v>2025-03-04</x:v>
      </x:c>
      <x:c r="B34" s="22" t="str">
        <x:v>早班</x:v>
      </x:c>
      <x:c r="C34" s="22" t="str">
        <x:v>L02</x:v>
      </x:c>
      <x:c r="D34" s="22" t="str">
        <x:v>P0025</x:v>
      </x:c>
      <x:c r="E34" s="22" t="str">
        <x:v>Q03</x:v>
      </x:c>
      <x:c r="F34" s="27" t="n">
        <x:v>27073</x:v>
      </x:c>
      <x:c r="G34" s="27" t="n">
        <x:v>27073</x:v>
      </x:c>
      <x:c r="H34" s="28" t="n">
        <x:v>1</x:v>
      </x:c>
      <x:c r="I34" s="29" t="n">
        <x:v>0.6</x:v>
      </x:c>
      <x:c r="J34" s="26" t="n">
        <x:v>0</x:v>
      </x:c>
      <x:c r="K34" s="26" t="n">
        <x:v>0</x:v>
      </x:c>
      <x:c r="L34" s="22" t="str">
        <x:v>瓶颈优先贪心</x:v>
      </x:c>
    </x:row>
    <x:row r="35" ht="20" customHeight="1">
      <x:c r="A35" s="22" t="str">
        <x:v>2025-03-04</x:v>
      </x:c>
      <x:c r="B35" s="22" t="str">
        <x:v>早班</x:v>
      </x:c>
      <x:c r="C35" s="22" t="str">
        <x:v>L03</x:v>
      </x:c>
      <x:c r="D35" s="22" t="str">
        <x:v>P0014</x:v>
      </x:c>
      <x:c r="E35" s="22" t="str">
        <x:v>Q03</x:v>
      </x:c>
      <x:c r="F35" s="27" t="n">
        <x:v>35000</x:v>
      </x:c>
      <x:c r="G35" s="27" t="n">
        <x:v>35000</x:v>
      </x:c>
      <x:c r="H35" s="28" t="n">
        <x:v>1</x:v>
      </x:c>
      <x:c r="I35" s="29" t="n">
        <x:v>0.409808</x:v>
      </x:c>
      <x:c r="J35" s="26" t="n">
        <x:v>0</x:v>
      </x:c>
      <x:c r="K35" s="26" t="n">
        <x:v>0</x:v>
      </x:c>
      <x:c r="L35" s="22" t="str">
        <x:v>瓶颈优先贪心</x:v>
      </x:c>
    </x:row>
    <x:row r="36" ht="20" customHeight="1">
      <x:c r="A36" s="22" t="str">
        <x:v>2025-03-04</x:v>
      </x:c>
      <x:c r="B36" s="22" t="str">
        <x:v>早班</x:v>
      </x:c>
      <x:c r="C36" s="22" t="str">
        <x:v>L04</x:v>
      </x:c>
      <x:c r="D36" s="22" t="str">
        <x:v>P0163</x:v>
      </x:c>
      <x:c r="E36" s="22" t="str">
        <x:v>Q06</x:v>
      </x:c>
      <x:c r="F36" s="27" t="n">
        <x:v>21500</x:v>
      </x:c>
      <x:c r="G36" s="27" t="n">
        <x:v>21500</x:v>
      </x:c>
      <x:c r="H36" s="28" t="n">
        <x:v>1</x:v>
      </x:c>
      <x:c r="I36" s="29" t="n">
        <x:v>1</x:v>
      </x:c>
      <x:c r="J36" s="26" t="n">
        <x:v>0</x:v>
      </x:c>
      <x:c r="K36" s="26" t="n">
        <x:v>0</x:v>
      </x:c>
      <x:c r="L36" s="22" t="str">
        <x:v>瓶颈优先贪心</x:v>
      </x:c>
    </x:row>
    <x:row r="37" ht="20" customHeight="1">
      <x:c r="A37" s="22" t="str">
        <x:v>2025-03-04</x:v>
      </x:c>
      <x:c r="B37" s="22" t="str">
        <x:v>早班</x:v>
      </x:c>
      <x:c r="C37" s="22" t="str">
        <x:v>L05</x:v>
      </x:c>
      <x:c r="D37" s="22" t="str"/>
      <x:c r="E37" s="22" t="str"/>
      <x:c r="F37" s="27" t="n">
        <x:v>0</x:v>
      </x:c>
      <x:c r="G37" s="27" t="n">
        <x:v>0</x:v>
      </x:c>
      <x:c r="H37" s="28" t="n">
        <x:v>0</x:v>
      </x:c>
      <x:c r="I37" s="29" t="n">
        <x:v>0</x:v>
      </x:c>
      <x:c r="J37" s="26" t="n">
        <x:v>0</x:v>
      </x:c>
      <x:c r="K37" s="26" t="n">
        <x:v>0</x:v>
      </x:c>
      <x:c r="L37" s="22" t="str">
        <x:v>瓶颈优先贪心</x:v>
      </x:c>
    </x:row>
    <x:row r="38" ht="20" customHeight="1">
      <x:c r="A38" s="22" t="str">
        <x:v>2025-03-04</x:v>
      </x:c>
      <x:c r="B38" s="22" t="str">
        <x:v>早班</x:v>
      </x:c>
      <x:c r="C38" s="22" t="str">
        <x:v>L06</x:v>
      </x:c>
      <x:c r="D38" s="22" t="str">
        <x:v>P0014</x:v>
      </x:c>
      <x:c r="E38" s="22" t="str">
        <x:v>Q03</x:v>
      </x:c>
      <x:c r="F38" s="27" t="n">
        <x:v>34000</x:v>
      </x:c>
      <x:c r="G38" s="27" t="n">
        <x:v>34000</x:v>
      </x:c>
      <x:c r="H38" s="28" t="n">
        <x:v>1</x:v>
      </x:c>
      <x:c r="I38" s="29" t="n">
        <x:v>0.464246</x:v>
      </x:c>
      <x:c r="J38" s="26" t="n">
        <x:v>0</x:v>
      </x:c>
      <x:c r="K38" s="26" t="n">
        <x:v>0</x:v>
      </x:c>
      <x:c r="L38" s="22" t="str">
        <x:v>瓶颈优先贪心</x:v>
      </x:c>
    </x:row>
    <x:row r="39" ht="20" customHeight="1">
      <x:c r="A39" s="22" t="str">
        <x:v>2025-03-04</x:v>
      </x:c>
      <x:c r="B39" s="22" t="str">
        <x:v>早班</x:v>
      </x:c>
      <x:c r="C39" s="22" t="str">
        <x:v>L07</x:v>
      </x:c>
      <x:c r="D39" s="22" t="str">
        <x:v>P0163</x:v>
      </x:c>
      <x:c r="E39" s="22" t="str">
        <x:v>Q06</x:v>
      </x:c>
      <x:c r="F39" s="27" t="n">
        <x:v>21500</x:v>
      </x:c>
      <x:c r="G39" s="27" t="n">
        <x:v>21500</x:v>
      </x:c>
      <x:c r="H39" s="28" t="n">
        <x:v>1</x:v>
      </x:c>
      <x:c r="I39" s="29" t="n">
        <x:v>0.6</x:v>
      </x:c>
      <x:c r="J39" s="26" t="n">
        <x:v>0</x:v>
      </x:c>
      <x:c r="K39" s="26" t="n">
        <x:v>0</x:v>
      </x:c>
      <x:c r="L39" s="22" t="str">
        <x:v>瓶颈优先贪心</x:v>
      </x:c>
    </x:row>
    <x:row r="40" ht="20" customHeight="1">
      <x:c r="A40" s="22" t="str">
        <x:v>2025-03-04</x:v>
      </x:c>
      <x:c r="B40" s="22" t="str">
        <x:v>早班</x:v>
      </x:c>
      <x:c r="C40" s="22" t="str">
        <x:v>L08</x:v>
      </x:c>
      <x:c r="D40" s="22" t="str">
        <x:v>P0004</x:v>
      </x:c>
      <x:c r="E40" s="22" t="str">
        <x:v>Q02</x:v>
      </x:c>
      <x:c r="F40" s="27" t="n">
        <x:v>35000</x:v>
      </x:c>
      <x:c r="G40" s="27" t="n">
        <x:v>35000</x:v>
      </x:c>
      <x:c r="H40" s="28" t="n">
        <x:v>1</x:v>
      </x:c>
      <x:c r="I40" s="29" t="n">
        <x:v>1</x:v>
      </x:c>
      <x:c r="J40" s="26" t="n">
        <x:v>0</x:v>
      </x:c>
      <x:c r="K40" s="26" t="n">
        <x:v>0</x:v>
      </x:c>
      <x:c r="L40" s="22" t="str">
        <x:v>瓶颈优先贪心</x:v>
      </x:c>
    </x:row>
    <x:row r="41" ht="20" customHeight="1">
      <x:c r="A41" s="22" t="str">
        <x:v>2025-03-04</x:v>
      </x:c>
      <x:c r="B41" s="22" t="str">
        <x:v>早班</x:v>
      </x:c>
      <x:c r="C41" s="22" t="str">
        <x:v>L09</x:v>
      </x:c>
      <x:c r="D41" s="22" t="str">
        <x:v>P0016</x:v>
      </x:c>
      <x:c r="E41" s="22" t="str">
        <x:v>Q03</x:v>
      </x:c>
      <x:c r="F41" s="27" t="n">
        <x:v>1056</x:v>
      </x:c>
      <x:c r="G41" s="27" t="n">
        <x:v>1056</x:v>
      </x:c>
      <x:c r="H41" s="28" t="n">
        <x:v>1</x:v>
      </x:c>
      <x:c r="I41" s="29" t="n">
        <x:v>1</x:v>
      </x:c>
      <x:c r="J41" s="26" t="n">
        <x:v>0</x:v>
      </x:c>
      <x:c r="K41" s="26" t="n">
        <x:v>0</x:v>
      </x:c>
      <x:c r="L41" s="22" t="str">
        <x:v>瓶颈优先贪心</x:v>
      </x:c>
    </x:row>
    <x:row r="42" ht="20" customHeight="1">
      <x:c r="A42" s="22" t="str">
        <x:v>2025-03-04</x:v>
      </x:c>
      <x:c r="B42" s="22" t="str">
        <x:v>早班</x:v>
      </x:c>
      <x:c r="C42" s="22" t="str">
        <x:v>L10</x:v>
      </x:c>
      <x:c r="D42" s="22" t="str">
        <x:v>P0014</x:v>
      </x:c>
      <x:c r="E42" s="22" t="str">
        <x:v>Q03</x:v>
      </x:c>
      <x:c r="F42" s="27" t="n">
        <x:v>110000</x:v>
      </x:c>
      <x:c r="G42" s="27" t="n">
        <x:v>110000</x:v>
      </x:c>
      <x:c r="H42" s="28" t="n">
        <x:v>1</x:v>
      </x:c>
      <x:c r="I42" s="29" t="n">
        <x:v>0.877029</x:v>
      </x:c>
      <x:c r="J42" s="26" t="n">
        <x:v>0</x:v>
      </x:c>
      <x:c r="K42" s="26" t="n">
        <x:v>0</x:v>
      </x:c>
      <x:c r="L42" s="22" t="str">
        <x:v>瓶颈优先贪心</x:v>
      </x:c>
    </x:row>
    <x:row r="43" ht="20" customHeight="1">
      <x:c r="A43" s="22" t="str">
        <x:v>2025-03-04</x:v>
      </x:c>
      <x:c r="B43" s="22" t="str">
        <x:v>早班</x:v>
      </x:c>
      <x:c r="C43" s="22" t="str">
        <x:v>L11</x:v>
      </x:c>
      <x:c r="D43" s="22" t="str">
        <x:v>P0014</x:v>
      </x:c>
      <x:c r="E43" s="22" t="str">
        <x:v>Q03</x:v>
      </x:c>
      <x:c r="F43" s="27" t="n">
        <x:v>35000</x:v>
      </x:c>
      <x:c r="G43" s="27" t="n">
        <x:v>35000</x:v>
      </x:c>
      <x:c r="H43" s="28" t="n">
        <x:v>1</x:v>
      </x:c>
      <x:c r="I43" s="29" t="n">
        <x:v>0.581461</x:v>
      </x:c>
      <x:c r="J43" s="26" t="n">
        <x:v>0</x:v>
      </x:c>
      <x:c r="K43" s="26" t="n">
        <x:v>0</x:v>
      </x:c>
      <x:c r="L43" s="22" t="str">
        <x:v>瓶颈优先贪心</x:v>
      </x:c>
    </x:row>
    <x:row r="44" ht="20" customHeight="1">
      <x:c r="A44" s="22" t="str">
        <x:v>2025-03-04</x:v>
      </x:c>
      <x:c r="B44" s="22" t="str">
        <x:v>早班</x:v>
      </x:c>
      <x:c r="C44" s="22" t="str">
        <x:v>L12</x:v>
      </x:c>
      <x:c r="D44" s="22" t="str">
        <x:v>P0014</x:v>
      </x:c>
      <x:c r="E44" s="22" t="str">
        <x:v>Q03</x:v>
      </x:c>
      <x:c r="F44" s="27" t="n">
        <x:v>35000</x:v>
      </x:c>
      <x:c r="G44" s="27" t="n">
        <x:v>35000</x:v>
      </x:c>
      <x:c r="H44" s="28" t="n">
        <x:v>1</x:v>
      </x:c>
      <x:c r="I44" s="29" t="n">
        <x:v>0.44839</x:v>
      </x:c>
      <x:c r="J44" s="26" t="n">
        <x:v>0</x:v>
      </x:c>
      <x:c r="K44" s="26" t="n">
        <x:v>0</x:v>
      </x:c>
      <x:c r="L44" s="22" t="str">
        <x:v>瓶颈优先贪心</x:v>
      </x:c>
    </x:row>
    <x:row r="45" ht="20" customHeight="1">
      <x:c r="A45" s="22" t="str">
        <x:v>2025-03-04</x:v>
      </x:c>
      <x:c r="B45" s="22" t="str">
        <x:v>早班</x:v>
      </x:c>
      <x:c r="C45" s="22" t="str">
        <x:v>L13</x:v>
      </x:c>
      <x:c r="D45" s="22" t="str">
        <x:v>P0059</x:v>
      </x:c>
      <x:c r="E45" s="22" t="str">
        <x:v>Q08</x:v>
      </x:c>
      <x:c r="F45" s="27" t="n">
        <x:v>13500</x:v>
      </x:c>
      <x:c r="G45" s="27" t="n">
        <x:v>13500</x:v>
      </x:c>
      <x:c r="H45" s="28" t="n">
        <x:v>1</x:v>
      </x:c>
      <x:c r="I45" s="29" t="n">
        <x:v>0.8</x:v>
      </x:c>
      <x:c r="J45" s="26" t="n">
        <x:v>0</x:v>
      </x:c>
      <x:c r="K45" s="26" t="n">
        <x:v>0</x:v>
      </x:c>
      <x:c r="L45" s="22" t="str">
        <x:v>瓶颈优先贪心</x:v>
      </x:c>
    </x:row>
    <x:row r="46" ht="20" customHeight="1">
      <x:c r="A46" s="22" t="str">
        <x:v>2025-03-04</x:v>
      </x:c>
      <x:c r="B46" s="22" t="str">
        <x:v>早班</x:v>
      </x:c>
      <x:c r="C46" s="22" t="str">
        <x:v>L14</x:v>
      </x:c>
      <x:c r="D46" s="22" t="str">
        <x:v>P0059</x:v>
      </x:c>
      <x:c r="E46" s="22" t="str">
        <x:v>Q08</x:v>
      </x:c>
      <x:c r="F46" s="27" t="n">
        <x:v>13000</x:v>
      </x:c>
      <x:c r="G46" s="27" t="n">
        <x:v>13000</x:v>
      </x:c>
      <x:c r="H46" s="28" t="n">
        <x:v>1</x:v>
      </x:c>
      <x:c r="I46" s="29" t="n">
        <x:v>0.4</x:v>
      </x:c>
      <x:c r="J46" s="26" t="n">
        <x:v>0</x:v>
      </x:c>
      <x:c r="K46" s="26" t="n">
        <x:v>0</x:v>
      </x:c>
      <x:c r="L46" s="22" t="str">
        <x:v>瓶颈优先贪心</x:v>
      </x:c>
    </x:row>
    <x:row r="47" ht="20" customHeight="1">
      <x:c r="A47" s="22" t="str">
        <x:v>2025-03-04</x:v>
      </x:c>
      <x:c r="B47" s="22" t="str">
        <x:v>中班</x:v>
      </x:c>
      <x:c r="C47" s="22" t="str">
        <x:v>L01</x:v>
      </x:c>
      <x:c r="D47" s="22" t="str">
        <x:v>P0022</x:v>
      </x:c>
      <x:c r="E47" s="22" t="str">
        <x:v>Q11</x:v>
      </x:c>
      <x:c r="F47" s="27" t="n">
        <x:v>18000</x:v>
      </x:c>
      <x:c r="G47" s="27" t="n">
        <x:v>18000</x:v>
      </x:c>
      <x:c r="H47" s="28" t="n">
        <x:v>1</x:v>
      </x:c>
      <x:c r="I47" s="29" t="n">
        <x:v>0.925811</x:v>
      </x:c>
      <x:c r="J47" s="26" t="n">
        <x:v>0</x:v>
      </x:c>
      <x:c r="K47" s="26" t="n">
        <x:v>0</x:v>
      </x:c>
      <x:c r="L47" s="22" t="str">
        <x:v>瓶颈优先贪心</x:v>
      </x:c>
    </x:row>
    <x:row r="48" ht="20" customHeight="1">
      <x:c r="A48" s="22" t="str">
        <x:v>2025-03-04</x:v>
      </x:c>
      <x:c r="B48" s="22" t="str">
        <x:v>中班</x:v>
      </x:c>
      <x:c r="C48" s="22" t="str">
        <x:v>L02</x:v>
      </x:c>
      <x:c r="D48" s="22" t="str">
        <x:v>P0025</x:v>
      </x:c>
      <x:c r="E48" s="22" t="str">
        <x:v>Q03</x:v>
      </x:c>
      <x:c r="F48" s="27" t="n">
        <x:v>27073</x:v>
      </x:c>
      <x:c r="G48" s="27" t="n">
        <x:v>27073</x:v>
      </x:c>
      <x:c r="H48" s="28" t="n">
        <x:v>1</x:v>
      </x:c>
      <x:c r="I48" s="29" t="n">
        <x:v>0.6</x:v>
      </x:c>
      <x:c r="J48" s="26" t="n">
        <x:v>0</x:v>
      </x:c>
      <x:c r="K48" s="26" t="n">
        <x:v>0</x:v>
      </x:c>
      <x:c r="L48" s="22" t="str">
        <x:v>瓶颈优先贪心</x:v>
      </x:c>
    </x:row>
    <x:row r="49" ht="20" customHeight="1">
      <x:c r="A49" s="22" t="str">
        <x:v>2025-03-04</x:v>
      </x:c>
      <x:c r="B49" s="22" t="str">
        <x:v>中班</x:v>
      </x:c>
      <x:c r="C49" s="22" t="str">
        <x:v>L03</x:v>
      </x:c>
      <x:c r="D49" s="22" t="str">
        <x:v>P0014</x:v>
      </x:c>
      <x:c r="E49" s="22" t="str">
        <x:v>Q03</x:v>
      </x:c>
      <x:c r="F49" s="27" t="n">
        <x:v>35000</x:v>
      </x:c>
      <x:c r="G49" s="27" t="n">
        <x:v>35000</x:v>
      </x:c>
      <x:c r="H49" s="28" t="n">
        <x:v>1</x:v>
      </x:c>
      <x:c r="I49" s="29" t="n">
        <x:v>0.409808</x:v>
      </x:c>
      <x:c r="J49" s="26" t="n">
        <x:v>0</x:v>
      </x:c>
      <x:c r="K49" s="26" t="n">
        <x:v>0</x:v>
      </x:c>
      <x:c r="L49" s="22" t="str">
        <x:v>瓶颈优先贪心</x:v>
      </x:c>
    </x:row>
    <x:row r="50" ht="20" customHeight="1">
      <x:c r="A50" s="22" t="str">
        <x:v>2025-03-04</x:v>
      </x:c>
      <x:c r="B50" s="22" t="str">
        <x:v>中班</x:v>
      </x:c>
      <x:c r="C50" s="22" t="str">
        <x:v>L04</x:v>
      </x:c>
      <x:c r="D50" s="22" t="str">
        <x:v>P0163</x:v>
      </x:c>
      <x:c r="E50" s="22" t="str">
        <x:v>Q06</x:v>
      </x:c>
      <x:c r="F50" s="27" t="n">
        <x:v>21500</x:v>
      </x:c>
      <x:c r="G50" s="27" t="n">
        <x:v>21500</x:v>
      </x:c>
      <x:c r="H50" s="28" t="n">
        <x:v>1</x:v>
      </x:c>
      <x:c r="I50" s="29" t="n">
        <x:v>1</x:v>
      </x:c>
      <x:c r="J50" s="26" t="n">
        <x:v>0</x:v>
      </x:c>
      <x:c r="K50" s="26" t="n">
        <x:v>0</x:v>
      </x:c>
      <x:c r="L50" s="22" t="str">
        <x:v>瓶颈优先贪心</x:v>
      </x:c>
    </x:row>
    <x:row r="51" ht="20" customHeight="1">
      <x:c r="A51" s="22" t="str">
        <x:v>2025-03-04</x:v>
      </x:c>
      <x:c r="B51" s="22" t="str">
        <x:v>中班</x:v>
      </x:c>
      <x:c r="C51" s="22" t="str">
        <x:v>L05</x:v>
      </x:c>
      <x:c r="D51" s="22" t="str"/>
      <x:c r="E51" s="22" t="str"/>
      <x:c r="F51" s="27" t="n">
        <x:v>0</x:v>
      </x:c>
      <x:c r="G51" s="27" t="n">
        <x:v>0</x:v>
      </x:c>
      <x:c r="H51" s="28" t="n">
        <x:v>0</x:v>
      </x:c>
      <x:c r="I51" s="29" t="n">
        <x:v>0</x:v>
      </x:c>
      <x:c r="J51" s="26" t="n">
        <x:v>0</x:v>
      </x:c>
      <x:c r="K51" s="26" t="n">
        <x:v>0</x:v>
      </x:c>
      <x:c r="L51" s="22" t="str">
        <x:v>瓶颈优先贪心</x:v>
      </x:c>
    </x:row>
    <x:row r="52" ht="20" customHeight="1">
      <x:c r="A52" s="22" t="str">
        <x:v>2025-03-04</x:v>
      </x:c>
      <x:c r="B52" s="22" t="str">
        <x:v>中班</x:v>
      </x:c>
      <x:c r="C52" s="22" t="str">
        <x:v>L06</x:v>
      </x:c>
      <x:c r="D52" s="22" t="str">
        <x:v>P0014</x:v>
      </x:c>
      <x:c r="E52" s="22" t="str">
        <x:v>Q03</x:v>
      </x:c>
      <x:c r="F52" s="27" t="n">
        <x:v>34000</x:v>
      </x:c>
      <x:c r="G52" s="27" t="n">
        <x:v>34000</x:v>
      </x:c>
      <x:c r="H52" s="28" t="n">
        <x:v>1</x:v>
      </x:c>
      <x:c r="I52" s="29" t="n">
        <x:v>0.464246</x:v>
      </x:c>
      <x:c r="J52" s="26" t="n">
        <x:v>0</x:v>
      </x:c>
      <x:c r="K52" s="26" t="n">
        <x:v>0</x:v>
      </x:c>
      <x:c r="L52" s="22" t="str">
        <x:v>瓶颈优先贪心</x:v>
      </x:c>
    </x:row>
    <x:row r="53" ht="20" customHeight="1">
      <x:c r="A53" s="22" t="str">
        <x:v>2025-03-04</x:v>
      </x:c>
      <x:c r="B53" s="22" t="str">
        <x:v>中班</x:v>
      </x:c>
      <x:c r="C53" s="22" t="str">
        <x:v>L07</x:v>
      </x:c>
      <x:c r="D53" s="22" t="str">
        <x:v>P0163</x:v>
      </x:c>
      <x:c r="E53" s="22" t="str">
        <x:v>Q06</x:v>
      </x:c>
      <x:c r="F53" s="27" t="n">
        <x:v>21500</x:v>
      </x:c>
      <x:c r="G53" s="27" t="n">
        <x:v>21500</x:v>
      </x:c>
      <x:c r="H53" s="28" t="n">
        <x:v>1</x:v>
      </x:c>
      <x:c r="I53" s="29" t="n">
        <x:v>0.6</x:v>
      </x:c>
      <x:c r="J53" s="26" t="n">
        <x:v>0</x:v>
      </x:c>
      <x:c r="K53" s="26" t="n">
        <x:v>0</x:v>
      </x:c>
      <x:c r="L53" s="22" t="str">
        <x:v>瓶颈优先贪心</x:v>
      </x:c>
    </x:row>
    <x:row r="54" ht="20" customHeight="1">
      <x:c r="A54" s="22" t="str">
        <x:v>2025-03-04</x:v>
      </x:c>
      <x:c r="B54" s="22" t="str">
        <x:v>中班</x:v>
      </x:c>
      <x:c r="C54" s="22" t="str">
        <x:v>L08</x:v>
      </x:c>
      <x:c r="D54" s="22" t="str">
        <x:v>P0004</x:v>
      </x:c>
      <x:c r="E54" s="22" t="str">
        <x:v>Q02</x:v>
      </x:c>
      <x:c r="F54" s="27" t="n">
        <x:v>35000</x:v>
      </x:c>
      <x:c r="G54" s="27" t="n">
        <x:v>35000</x:v>
      </x:c>
      <x:c r="H54" s="28" t="n">
        <x:v>1</x:v>
      </x:c>
      <x:c r="I54" s="29" t="n">
        <x:v>1</x:v>
      </x:c>
      <x:c r="J54" s="26" t="n">
        <x:v>0</x:v>
      </x:c>
      <x:c r="K54" s="26" t="n">
        <x:v>0</x:v>
      </x:c>
      <x:c r="L54" s="22" t="str">
        <x:v>瓶颈优先贪心</x:v>
      </x:c>
    </x:row>
    <x:row r="55" ht="20" customHeight="1">
      <x:c r="A55" s="22" t="str">
        <x:v>2025-03-04</x:v>
      </x:c>
      <x:c r="B55" s="22" t="str">
        <x:v>中班</x:v>
      </x:c>
      <x:c r="C55" s="22" t="str">
        <x:v>L09</x:v>
      </x:c>
      <x:c r="D55" s="22" t="str">
        <x:v>P0016</x:v>
      </x:c>
      <x:c r="E55" s="22" t="str">
        <x:v>Q03</x:v>
      </x:c>
      <x:c r="F55" s="27" t="n">
        <x:v>1056</x:v>
      </x:c>
      <x:c r="G55" s="27" t="n">
        <x:v>1056</x:v>
      </x:c>
      <x:c r="H55" s="28" t="n">
        <x:v>1</x:v>
      </x:c>
      <x:c r="I55" s="29" t="n">
        <x:v>1</x:v>
      </x:c>
      <x:c r="J55" s="26" t="n">
        <x:v>0</x:v>
      </x:c>
      <x:c r="K55" s="26" t="n">
        <x:v>0</x:v>
      </x:c>
      <x:c r="L55" s="22" t="str">
        <x:v>瓶颈优先贪心</x:v>
      </x:c>
    </x:row>
    <x:row r="56" ht="20" customHeight="1">
      <x:c r="A56" s="22" t="str">
        <x:v>2025-03-04</x:v>
      </x:c>
      <x:c r="B56" s="22" t="str">
        <x:v>中班</x:v>
      </x:c>
      <x:c r="C56" s="22" t="str">
        <x:v>L10</x:v>
      </x:c>
      <x:c r="D56" s="22" t="str">
        <x:v>P0014</x:v>
      </x:c>
      <x:c r="E56" s="22" t="str">
        <x:v>Q03</x:v>
      </x:c>
      <x:c r="F56" s="27" t="n">
        <x:v>110000</x:v>
      </x:c>
      <x:c r="G56" s="27" t="n">
        <x:v>110000</x:v>
      </x:c>
      <x:c r="H56" s="28" t="n">
        <x:v>1</x:v>
      </x:c>
      <x:c r="I56" s="29" t="n">
        <x:v>0.877029</x:v>
      </x:c>
      <x:c r="J56" s="26" t="n">
        <x:v>0</x:v>
      </x:c>
      <x:c r="K56" s="26" t="n">
        <x:v>0</x:v>
      </x:c>
      <x:c r="L56" s="22" t="str">
        <x:v>瓶颈优先贪心</x:v>
      </x:c>
    </x:row>
    <x:row r="57" ht="20" customHeight="1">
      <x:c r="A57" s="22" t="str">
        <x:v>2025-03-04</x:v>
      </x:c>
      <x:c r="B57" s="22" t="str">
        <x:v>中班</x:v>
      </x:c>
      <x:c r="C57" s="22" t="str">
        <x:v>L11</x:v>
      </x:c>
      <x:c r="D57" s="22" t="str">
        <x:v>P0043</x:v>
      </x:c>
      <x:c r="E57" s="22" t="str">
        <x:v>Q04</x:v>
      </x:c>
      <x:c r="F57" s="27" t="n">
        <x:v>35000</x:v>
      </x:c>
      <x:c r="G57" s="27" t="n">
        <x:v>35000</x:v>
      </x:c>
      <x:c r="H57" s="28" t="n">
        <x:v>1</x:v>
      </x:c>
      <x:c r="I57" s="29" t="n">
        <x:v>1</x:v>
      </x:c>
      <x:c r="J57" s="26" t="n">
        <x:v>1</x:v>
      </x:c>
      <x:c r="K57" s="26" t="n">
        <x:v>1</x:v>
      </x:c>
      <x:c r="L57" s="22" t="str">
        <x:v>瓶颈优先贪心</x:v>
      </x:c>
    </x:row>
    <x:row r="58" ht="20" customHeight="1">
      <x:c r="A58" s="22" t="str">
        <x:v>2025-03-04</x:v>
      </x:c>
      <x:c r="B58" s="22" t="str">
        <x:v>中班</x:v>
      </x:c>
      <x:c r="C58" s="22" t="str">
        <x:v>L12</x:v>
      </x:c>
      <x:c r="D58" s="22" t="str">
        <x:v>P0014</x:v>
      </x:c>
      <x:c r="E58" s="22" t="str">
        <x:v>Q03</x:v>
      </x:c>
      <x:c r="F58" s="27" t="n">
        <x:v>35000</x:v>
      </x:c>
      <x:c r="G58" s="27" t="n">
        <x:v>35000</x:v>
      </x:c>
      <x:c r="H58" s="28" t="n">
        <x:v>1</x:v>
      </x:c>
      <x:c r="I58" s="29" t="n">
        <x:v>0.44839</x:v>
      </x:c>
      <x:c r="J58" s="26" t="n">
        <x:v>0</x:v>
      </x:c>
      <x:c r="K58" s="26" t="n">
        <x:v>0</x:v>
      </x:c>
      <x:c r="L58" s="22" t="str">
        <x:v>瓶颈优先贪心</x:v>
      </x:c>
    </x:row>
    <x:row r="59" ht="20" customHeight="1">
      <x:c r="A59" s="22" t="str">
        <x:v>2025-03-04</x:v>
      </x:c>
      <x:c r="B59" s="22" t="str">
        <x:v>中班</x:v>
      </x:c>
      <x:c r="C59" s="22" t="str">
        <x:v>L13</x:v>
      </x:c>
      <x:c r="D59" s="22" t="str">
        <x:v>P0059</x:v>
      </x:c>
      <x:c r="E59" s="22" t="str">
        <x:v>Q08</x:v>
      </x:c>
      <x:c r="F59" s="27" t="n">
        <x:v>13500</x:v>
      </x:c>
      <x:c r="G59" s="27" t="n">
        <x:v>13500</x:v>
      </x:c>
      <x:c r="H59" s="28" t="n">
        <x:v>1</x:v>
      </x:c>
      <x:c r="I59" s="29" t="n">
        <x:v>0.8</x:v>
      </x:c>
      <x:c r="J59" s="26" t="n">
        <x:v>0</x:v>
      </x:c>
      <x:c r="K59" s="26" t="n">
        <x:v>0</x:v>
      </x:c>
      <x:c r="L59" s="22" t="str">
        <x:v>瓶颈优先贪心</x:v>
      </x:c>
    </x:row>
    <x:row r="60" ht="20" customHeight="1">
      <x:c r="A60" s="22" t="str">
        <x:v>2025-03-04</x:v>
      </x:c>
      <x:c r="B60" s="22" t="str">
        <x:v>中班</x:v>
      </x:c>
      <x:c r="C60" s="22" t="str">
        <x:v>L14</x:v>
      </x:c>
      <x:c r="D60" s="22" t="str">
        <x:v>P0059</x:v>
      </x:c>
      <x:c r="E60" s="22" t="str">
        <x:v>Q08</x:v>
      </x:c>
      <x:c r="F60" s="27" t="n">
        <x:v>13000</x:v>
      </x:c>
      <x:c r="G60" s="27" t="n">
        <x:v>13000</x:v>
      </x:c>
      <x:c r="H60" s="28" t="n">
        <x:v>1</x:v>
      </x:c>
      <x:c r="I60" s="29" t="n">
        <x:v>0.4</x:v>
      </x:c>
      <x:c r="J60" s="26" t="n">
        <x:v>0</x:v>
      </x:c>
      <x:c r="K60" s="26" t="n">
        <x:v>0</x:v>
      </x:c>
      <x:c r="L60" s="22" t="str">
        <x:v>瓶颈优先贪心</x:v>
      </x:c>
    </x:row>
    <x:row r="61" ht="20" customHeight="1">
      <x:c r="A61" s="22" t="str">
        <x:v>2025-03-05</x:v>
      </x:c>
      <x:c r="B61" s="22" t="str">
        <x:v>早班</x:v>
      </x:c>
      <x:c r="C61" s="22" t="str">
        <x:v>L01</x:v>
      </x:c>
      <x:c r="D61" s="22" t="str">
        <x:v>P0017</x:v>
      </x:c>
      <x:c r="E61" s="22" t="str">
        <x:v>Q03</x:v>
      </x:c>
      <x:c r="F61" s="27" t="n">
        <x:v>21151</x:v>
      </x:c>
      <x:c r="G61" s="27" t="n">
        <x:v>21151</x:v>
      </x:c>
      <x:c r="H61" s="28" t="n">
        <x:v>1</x:v>
      </x:c>
      <x:c r="I61" s="29" t="n">
        <x:v>0.8</x:v>
      </x:c>
      <x:c r="J61" s="26" t="n">
        <x:v>1</x:v>
      </x:c>
      <x:c r="K61" s="26" t="n">
        <x:v>1</x:v>
      </x:c>
      <x:c r="L61" s="22" t="str">
        <x:v>瓶颈优先贪心</x:v>
      </x:c>
    </x:row>
    <x:row r="62" ht="20" customHeight="1">
      <x:c r="A62" s="22" t="str">
        <x:v>2025-03-05</x:v>
      </x:c>
      <x:c r="B62" s="22" t="str">
        <x:v>早班</x:v>
      </x:c>
      <x:c r="C62" s="22" t="str">
        <x:v>L02</x:v>
      </x:c>
      <x:c r="D62" s="22" t="str">
        <x:v>P0025</x:v>
      </x:c>
      <x:c r="E62" s="22" t="str">
        <x:v>Q03</x:v>
      </x:c>
      <x:c r="F62" s="27" t="n">
        <x:v>27073</x:v>
      </x:c>
      <x:c r="G62" s="27" t="n">
        <x:v>27073</x:v>
      </x:c>
      <x:c r="H62" s="28" t="n">
        <x:v>1</x:v>
      </x:c>
      <x:c r="I62" s="29" t="n">
        <x:v>0.6</x:v>
      </x:c>
      <x:c r="J62" s="26" t="n">
        <x:v>0</x:v>
      </x:c>
      <x:c r="K62" s="26" t="n">
        <x:v>0</x:v>
      </x:c>
      <x:c r="L62" s="22" t="str">
        <x:v>瓶颈优先贪心</x:v>
      </x:c>
    </x:row>
    <x:row r="63" ht="20" customHeight="1">
      <x:c r="A63" s="22" t="str">
        <x:v>2025-03-05</x:v>
      </x:c>
      <x:c r="B63" s="22" t="str">
        <x:v>早班</x:v>
      </x:c>
      <x:c r="C63" s="22" t="str">
        <x:v>L03</x:v>
      </x:c>
      <x:c r="D63" s="22" t="str">
        <x:v>P0159</x:v>
      </x:c>
      <x:c r="E63" s="22" t="str">
        <x:v>Q03</x:v>
      </x:c>
      <x:c r="F63" s="27" t="n">
        <x:v>37992</x:v>
      </x:c>
      <x:c r="G63" s="27" t="n">
        <x:v>37992</x:v>
      </x:c>
      <x:c r="H63" s="28" t="n">
        <x:v>1</x:v>
      </x:c>
      <x:c r="I63" s="29" t="n">
        <x:v>1</x:v>
      </x:c>
      <x:c r="J63" s="26" t="n">
        <x:v>1</x:v>
      </x:c>
      <x:c r="K63" s="26" t="n">
        <x:v>0</x:v>
      </x:c>
      <x:c r="L63" s="22" t="str">
        <x:v>瓶颈优先贪心</x:v>
      </x:c>
    </x:row>
    <x:row r="64" ht="20" customHeight="1">
      <x:c r="A64" s="22" t="str">
        <x:v>2025-03-05</x:v>
      </x:c>
      <x:c r="B64" s="22" t="str">
        <x:v>早班</x:v>
      </x:c>
      <x:c r="C64" s="22" t="str">
        <x:v>L04</x:v>
      </x:c>
      <x:c r="D64" s="22" t="str">
        <x:v>P0163</x:v>
      </x:c>
      <x:c r="E64" s="22" t="str">
        <x:v>Q06</x:v>
      </x:c>
      <x:c r="F64" s="27" t="n">
        <x:v>21500</x:v>
      </x:c>
      <x:c r="G64" s="27" t="n">
        <x:v>21500</x:v>
      </x:c>
      <x:c r="H64" s="28" t="n">
        <x:v>1</x:v>
      </x:c>
      <x:c r="I64" s="29" t="n">
        <x:v>1</x:v>
      </x:c>
      <x:c r="J64" s="26" t="n">
        <x:v>0</x:v>
      </x:c>
      <x:c r="K64" s="26" t="n">
        <x:v>0</x:v>
      </x:c>
      <x:c r="L64" s="22" t="str">
        <x:v>瓶颈优先贪心</x:v>
      </x:c>
    </x:row>
    <x:row r="65" ht="20" customHeight="1">
      <x:c r="A65" s="22" t="str">
        <x:v>2025-03-05</x:v>
      </x:c>
      <x:c r="B65" s="22" t="str">
        <x:v>早班</x:v>
      </x:c>
      <x:c r="C65" s="22" t="str">
        <x:v>L05</x:v>
      </x:c>
      <x:c r="D65" s="22" t="str"/>
      <x:c r="E65" s="22" t="str"/>
      <x:c r="F65" s="27" t="n">
        <x:v>0</x:v>
      </x:c>
      <x:c r="G65" s="27" t="n">
        <x:v>0</x:v>
      </x:c>
      <x:c r="H65" s="28" t="n">
        <x:v>0</x:v>
      </x:c>
      <x:c r="I65" s="29" t="n">
        <x:v>0</x:v>
      </x:c>
      <x:c r="J65" s="26" t="n">
        <x:v>0</x:v>
      </x:c>
      <x:c r="K65" s="26" t="n">
        <x:v>0</x:v>
      </x:c>
      <x:c r="L65" s="22" t="str">
        <x:v>瓶颈优先贪心</x:v>
      </x:c>
    </x:row>
    <x:row r="66" ht="20" customHeight="1">
      <x:c r="A66" s="22" t="str">
        <x:v>2025-03-05</x:v>
      </x:c>
      <x:c r="B66" s="22" t="str">
        <x:v>早班</x:v>
      </x:c>
      <x:c r="C66" s="22" t="str">
        <x:v>L06</x:v>
      </x:c>
      <x:c r="D66" s="22" t="str">
        <x:v>P0014</x:v>
      </x:c>
      <x:c r="E66" s="22" t="str">
        <x:v>Q03</x:v>
      </x:c>
      <x:c r="F66" s="27" t="n">
        <x:v>34000</x:v>
      </x:c>
      <x:c r="G66" s="27" t="n">
        <x:v>34000</x:v>
      </x:c>
      <x:c r="H66" s="28" t="n">
        <x:v>1</x:v>
      </x:c>
      <x:c r="I66" s="29" t="n">
        <x:v>0.464246</x:v>
      </x:c>
      <x:c r="J66" s="26" t="n">
        <x:v>0</x:v>
      </x:c>
      <x:c r="K66" s="26" t="n">
        <x:v>0</x:v>
      </x:c>
      <x:c r="L66" s="22" t="str">
        <x:v>瓶颈优先贪心</x:v>
      </x:c>
    </x:row>
    <x:row r="67" ht="20" customHeight="1">
      <x:c r="A67" s="22" t="str">
        <x:v>2025-03-05</x:v>
      </x:c>
      <x:c r="B67" s="22" t="str">
        <x:v>早班</x:v>
      </x:c>
      <x:c r="C67" s="22" t="str">
        <x:v>L07</x:v>
      </x:c>
      <x:c r="D67" s="22" t="str">
        <x:v>P0163</x:v>
      </x:c>
      <x:c r="E67" s="22" t="str">
        <x:v>Q06</x:v>
      </x:c>
      <x:c r="F67" s="27" t="n">
        <x:v>21500</x:v>
      </x:c>
      <x:c r="G67" s="27" t="n">
        <x:v>21500</x:v>
      </x:c>
      <x:c r="H67" s="28" t="n">
        <x:v>1</x:v>
      </x:c>
      <x:c r="I67" s="29" t="n">
        <x:v>0.6</x:v>
      </x:c>
      <x:c r="J67" s="26" t="n">
        <x:v>0</x:v>
      </x:c>
      <x:c r="K67" s="26" t="n">
        <x:v>0</x:v>
      </x:c>
      <x:c r="L67" s="22" t="str">
        <x:v>瓶颈优先贪心</x:v>
      </x:c>
    </x:row>
    <x:row r="68" ht="20" customHeight="1">
      <x:c r="A68" s="22" t="str">
        <x:v>2025-03-05</x:v>
      </x:c>
      <x:c r="B68" s="22" t="str">
        <x:v>早班</x:v>
      </x:c>
      <x:c r="C68" s="22" t="str">
        <x:v>L08</x:v>
      </x:c>
      <x:c r="D68" s="22" t="str">
        <x:v>P0004</x:v>
      </x:c>
      <x:c r="E68" s="22" t="str">
        <x:v>Q02</x:v>
      </x:c>
      <x:c r="F68" s="27" t="n">
        <x:v>35000</x:v>
      </x:c>
      <x:c r="G68" s="27" t="n">
        <x:v>35000</x:v>
      </x:c>
      <x:c r="H68" s="28" t="n">
        <x:v>1</x:v>
      </x:c>
      <x:c r="I68" s="29" t="n">
        <x:v>1</x:v>
      </x:c>
      <x:c r="J68" s="26" t="n">
        <x:v>0</x:v>
      </x:c>
      <x:c r="K68" s="26" t="n">
        <x:v>0</x:v>
      </x:c>
      <x:c r="L68" s="22" t="str">
        <x:v>瓶颈优先贪心</x:v>
      </x:c>
    </x:row>
    <x:row r="69" ht="20" customHeight="1">
      <x:c r="A69" s="22" t="str">
        <x:v>2025-03-05</x:v>
      </x:c>
      <x:c r="B69" s="22" t="str">
        <x:v>早班</x:v>
      </x:c>
      <x:c r="C69" s="22" t="str">
        <x:v>L09</x:v>
      </x:c>
      <x:c r="D69" s="22" t="str">
        <x:v>P0016</x:v>
      </x:c>
      <x:c r="E69" s="22" t="str">
        <x:v>Q03</x:v>
      </x:c>
      <x:c r="F69" s="27" t="n">
        <x:v>1056</x:v>
      </x:c>
      <x:c r="G69" s="27" t="n">
        <x:v>1056</x:v>
      </x:c>
      <x:c r="H69" s="28" t="n">
        <x:v>1</x:v>
      </x:c>
      <x:c r="I69" s="29" t="n">
        <x:v>1</x:v>
      </x:c>
      <x:c r="J69" s="26" t="n">
        <x:v>0</x:v>
      </x:c>
      <x:c r="K69" s="26" t="n">
        <x:v>0</x:v>
      </x:c>
      <x:c r="L69" s="22" t="str">
        <x:v>瓶颈优先贪心</x:v>
      </x:c>
    </x:row>
    <x:row r="70" ht="20" customHeight="1">
      <x:c r="A70" s="22" t="str">
        <x:v>2025-03-05</x:v>
      </x:c>
      <x:c r="B70" s="22" t="str">
        <x:v>早班</x:v>
      </x:c>
      <x:c r="C70" s="22" t="str">
        <x:v>L10</x:v>
      </x:c>
      <x:c r="D70" s="22" t="str">
        <x:v>P0014</x:v>
      </x:c>
      <x:c r="E70" s="22" t="str">
        <x:v>Q03</x:v>
      </x:c>
      <x:c r="F70" s="27" t="n">
        <x:v>110000</x:v>
      </x:c>
      <x:c r="G70" s="27" t="n">
        <x:v>110000</x:v>
      </x:c>
      <x:c r="H70" s="28" t="n">
        <x:v>1</x:v>
      </x:c>
      <x:c r="I70" s="29" t="n">
        <x:v>0.877029</x:v>
      </x:c>
      <x:c r="J70" s="26" t="n">
        <x:v>0</x:v>
      </x:c>
      <x:c r="K70" s="26" t="n">
        <x:v>0</x:v>
      </x:c>
      <x:c r="L70" s="22" t="str">
        <x:v>瓶颈优先贪心</x:v>
      </x:c>
    </x:row>
    <x:row r="71" ht="20" customHeight="1">
      <x:c r="A71" s="22" t="str">
        <x:v>2025-03-05</x:v>
      </x:c>
      <x:c r="B71" s="22" t="str">
        <x:v>早班</x:v>
      </x:c>
      <x:c r="C71" s="22" t="str">
        <x:v>L11</x:v>
      </x:c>
      <x:c r="D71" s="22" t="str">
        <x:v>P0043</x:v>
      </x:c>
      <x:c r="E71" s="22" t="str">
        <x:v>Q04</x:v>
      </x:c>
      <x:c r="F71" s="27" t="n">
        <x:v>35000</x:v>
      </x:c>
      <x:c r="G71" s="27" t="n">
        <x:v>35000</x:v>
      </x:c>
      <x:c r="H71" s="28" t="n">
        <x:v>1</x:v>
      </x:c>
      <x:c r="I71" s="29" t="n">
        <x:v>1</x:v>
      </x:c>
      <x:c r="J71" s="26" t="n">
        <x:v>0</x:v>
      </x:c>
      <x:c r="K71" s="26" t="n">
        <x:v>0</x:v>
      </x:c>
      <x:c r="L71" s="22" t="str">
        <x:v>瓶颈优先贪心</x:v>
      </x:c>
    </x:row>
    <x:row r="72" ht="20" customHeight="1">
      <x:c r="A72" s="22" t="str">
        <x:v>2025-03-05</x:v>
      </x:c>
      <x:c r="B72" s="22" t="str">
        <x:v>早班</x:v>
      </x:c>
      <x:c r="C72" s="22" t="str">
        <x:v>L12</x:v>
      </x:c>
      <x:c r="D72" s="22" t="str">
        <x:v>P0014</x:v>
      </x:c>
      <x:c r="E72" s="22" t="str">
        <x:v>Q03</x:v>
      </x:c>
      <x:c r="F72" s="27" t="n">
        <x:v>35000</x:v>
      </x:c>
      <x:c r="G72" s="27" t="n">
        <x:v>35000</x:v>
      </x:c>
      <x:c r="H72" s="28" t="n">
        <x:v>1</x:v>
      </x:c>
      <x:c r="I72" s="29" t="n">
        <x:v>0.44839</x:v>
      </x:c>
      <x:c r="J72" s="26" t="n">
        <x:v>0</x:v>
      </x:c>
      <x:c r="K72" s="26" t="n">
        <x:v>0</x:v>
      </x:c>
      <x:c r="L72" s="22" t="str">
        <x:v>瓶颈优先贪心</x:v>
      </x:c>
    </x:row>
    <x:row r="73" ht="20" customHeight="1">
      <x:c r="A73" s="22" t="str">
        <x:v>2025-03-05</x:v>
      </x:c>
      <x:c r="B73" s="22" t="str">
        <x:v>早班</x:v>
      </x:c>
      <x:c r="C73" s="22" t="str">
        <x:v>L13</x:v>
      </x:c>
      <x:c r="D73" s="22" t="str">
        <x:v>P0059</x:v>
      </x:c>
      <x:c r="E73" s="22" t="str">
        <x:v>Q08</x:v>
      </x:c>
      <x:c r="F73" s="27" t="n">
        <x:v>13500</x:v>
      </x:c>
      <x:c r="G73" s="27" t="n">
        <x:v>13500</x:v>
      </x:c>
      <x:c r="H73" s="28" t="n">
        <x:v>1</x:v>
      </x:c>
      <x:c r="I73" s="29" t="n">
        <x:v>0.8</x:v>
      </x:c>
      <x:c r="J73" s="26" t="n">
        <x:v>0</x:v>
      </x:c>
      <x:c r="K73" s="26" t="n">
        <x:v>0</x:v>
      </x:c>
      <x:c r="L73" s="22" t="str">
        <x:v>瓶颈优先贪心</x:v>
      </x:c>
    </x:row>
    <x:row r="74" ht="20" customHeight="1">
      <x:c r="A74" s="22" t="str">
        <x:v>2025-03-05</x:v>
      </x:c>
      <x:c r="B74" s="22" t="str">
        <x:v>早班</x:v>
      </x:c>
      <x:c r="C74" s="22" t="str">
        <x:v>L14</x:v>
      </x:c>
      <x:c r="D74" s="22" t="str">
        <x:v>P0059</x:v>
      </x:c>
      <x:c r="E74" s="22" t="str">
        <x:v>Q08</x:v>
      </x:c>
      <x:c r="F74" s="27" t="n">
        <x:v>13000</x:v>
      </x:c>
      <x:c r="G74" s="27" t="n">
        <x:v>13000</x:v>
      </x:c>
      <x:c r="H74" s="28" t="n">
        <x:v>1</x:v>
      </x:c>
      <x:c r="I74" s="29" t="n">
        <x:v>0.4</x:v>
      </x:c>
      <x:c r="J74" s="26" t="n">
        <x:v>0</x:v>
      </x:c>
      <x:c r="K74" s="26" t="n">
        <x:v>0</x:v>
      </x:c>
      <x:c r="L74" s="22" t="str">
        <x:v>瓶颈优先贪心</x:v>
      </x:c>
    </x:row>
    <x:row r="75" ht="20" customHeight="1">
      <x:c r="A75" s="22" t="str">
        <x:v>2025-03-05</x:v>
      </x:c>
      <x:c r="B75" s="22" t="str">
        <x:v>中班</x:v>
      </x:c>
      <x:c r="C75" s="22" t="str">
        <x:v>L01</x:v>
      </x:c>
      <x:c r="D75" s="22" t="str">
        <x:v>P0017</x:v>
      </x:c>
      <x:c r="E75" s="22" t="str">
        <x:v>Q03</x:v>
      </x:c>
      <x:c r="F75" s="27" t="n">
        <x:v>21151</x:v>
      </x:c>
      <x:c r="G75" s="27" t="n">
        <x:v>21151</x:v>
      </x:c>
      <x:c r="H75" s="28" t="n">
        <x:v>1</x:v>
      </x:c>
      <x:c r="I75" s="29" t="n">
        <x:v>0.8</x:v>
      </x:c>
      <x:c r="J75" s="26" t="n">
        <x:v>0</x:v>
      </x:c>
      <x:c r="K75" s="26" t="n">
        <x:v>0</x:v>
      </x:c>
      <x:c r="L75" s="22" t="str">
        <x:v>瓶颈优先贪心</x:v>
      </x:c>
    </x:row>
    <x:row r="76" ht="20" customHeight="1">
      <x:c r="A76" s="22" t="str">
        <x:v>2025-03-05</x:v>
      </x:c>
      <x:c r="B76" s="22" t="str">
        <x:v>中班</x:v>
      </x:c>
      <x:c r="C76" s="22" t="str">
        <x:v>L02</x:v>
      </x:c>
      <x:c r="D76" s="22" t="str">
        <x:v>P0025</x:v>
      </x:c>
      <x:c r="E76" s="22" t="str">
        <x:v>Q03</x:v>
      </x:c>
      <x:c r="F76" s="27" t="n">
        <x:v>27073</x:v>
      </x:c>
      <x:c r="G76" s="27" t="n">
        <x:v>27073</x:v>
      </x:c>
      <x:c r="H76" s="28" t="n">
        <x:v>1</x:v>
      </x:c>
      <x:c r="I76" s="29" t="n">
        <x:v>0.6</x:v>
      </x:c>
      <x:c r="J76" s="26" t="n">
        <x:v>0</x:v>
      </x:c>
      <x:c r="K76" s="26" t="n">
        <x:v>0</x:v>
      </x:c>
      <x:c r="L76" s="22" t="str">
        <x:v>瓶颈优先贪心</x:v>
      </x:c>
    </x:row>
    <x:row r="77" ht="20" customHeight="1">
      <x:c r="A77" s="22" t="str">
        <x:v>2025-03-05</x:v>
      </x:c>
      <x:c r="B77" s="22" t="str">
        <x:v>中班</x:v>
      </x:c>
      <x:c r="C77" s="22" t="str">
        <x:v>L03</x:v>
      </x:c>
      <x:c r="D77" s="22" t="str">
        <x:v>P0159</x:v>
      </x:c>
      <x:c r="E77" s="22" t="str">
        <x:v>Q03</x:v>
      </x:c>
      <x:c r="F77" s="27" t="n">
        <x:v>37992</x:v>
      </x:c>
      <x:c r="G77" s="27" t="n">
        <x:v>37992</x:v>
      </x:c>
      <x:c r="H77" s="28" t="n">
        <x:v>1</x:v>
      </x:c>
      <x:c r="I77" s="29" t="n">
        <x:v>1</x:v>
      </x:c>
      <x:c r="J77" s="26" t="n">
        <x:v>0</x:v>
      </x:c>
      <x:c r="K77" s="26" t="n">
        <x:v>0</x:v>
      </x:c>
      <x:c r="L77" s="22" t="str">
        <x:v>瓶颈优先贪心</x:v>
      </x:c>
    </x:row>
    <x:row r="78" ht="20" customHeight="1">
      <x:c r="A78" s="22" t="str">
        <x:v>2025-03-05</x:v>
      </x:c>
      <x:c r="B78" s="22" t="str">
        <x:v>中班</x:v>
      </x:c>
      <x:c r="C78" s="22" t="str">
        <x:v>L04</x:v>
      </x:c>
      <x:c r="D78" s="22" t="str">
        <x:v>P0163</x:v>
      </x:c>
      <x:c r="E78" s="22" t="str">
        <x:v>Q06</x:v>
      </x:c>
      <x:c r="F78" s="27" t="n">
        <x:v>21500</x:v>
      </x:c>
      <x:c r="G78" s="27" t="n">
        <x:v>21500</x:v>
      </x:c>
      <x:c r="H78" s="28" t="n">
        <x:v>1</x:v>
      </x:c>
      <x:c r="I78" s="29" t="n">
        <x:v>1</x:v>
      </x:c>
      <x:c r="J78" s="26" t="n">
        <x:v>0</x:v>
      </x:c>
      <x:c r="K78" s="26" t="n">
        <x:v>0</x:v>
      </x:c>
      <x:c r="L78" s="22" t="str">
        <x:v>瓶颈优先贪心</x:v>
      </x:c>
    </x:row>
    <x:row r="79" ht="20" customHeight="1">
      <x:c r="A79" s="22" t="str">
        <x:v>2025-03-05</x:v>
      </x:c>
      <x:c r="B79" s="22" t="str">
        <x:v>中班</x:v>
      </x:c>
      <x:c r="C79" s="22" t="str">
        <x:v>L05</x:v>
      </x:c>
      <x:c r="D79" s="22" t="str"/>
      <x:c r="E79" s="22" t="str"/>
      <x:c r="F79" s="27" t="n">
        <x:v>0</x:v>
      </x:c>
      <x:c r="G79" s="27" t="n">
        <x:v>0</x:v>
      </x:c>
      <x:c r="H79" s="28" t="n">
        <x:v>0</x:v>
      </x:c>
      <x:c r="I79" s="29" t="n">
        <x:v>0</x:v>
      </x:c>
      <x:c r="J79" s="26" t="n">
        <x:v>0</x:v>
      </x:c>
      <x:c r="K79" s="26" t="n">
        <x:v>0</x:v>
      </x:c>
      <x:c r="L79" s="22" t="str">
        <x:v>瓶颈优先贪心</x:v>
      </x:c>
    </x:row>
    <x:row r="80" ht="20" customHeight="1">
      <x:c r="A80" s="22" t="str">
        <x:v>2025-03-05</x:v>
      </x:c>
      <x:c r="B80" s="22" t="str">
        <x:v>中班</x:v>
      </x:c>
      <x:c r="C80" s="22" t="str">
        <x:v>L06</x:v>
      </x:c>
      <x:c r="D80" s="22" t="str">
        <x:v>P0014</x:v>
      </x:c>
      <x:c r="E80" s="22" t="str">
        <x:v>Q03</x:v>
      </x:c>
      <x:c r="F80" s="27" t="n">
        <x:v>34000</x:v>
      </x:c>
      <x:c r="G80" s="27" t="n">
        <x:v>34000</x:v>
      </x:c>
      <x:c r="H80" s="28" t="n">
        <x:v>1</x:v>
      </x:c>
      <x:c r="I80" s="29" t="n">
        <x:v>0.464246</x:v>
      </x:c>
      <x:c r="J80" s="26" t="n">
        <x:v>0</x:v>
      </x:c>
      <x:c r="K80" s="26" t="n">
        <x:v>0</x:v>
      </x:c>
      <x:c r="L80" s="22" t="str">
        <x:v>瓶颈优先贪心</x:v>
      </x:c>
    </x:row>
    <x:row r="81" ht="20" customHeight="1">
      <x:c r="A81" s="22" t="str">
        <x:v>2025-03-05</x:v>
      </x:c>
      <x:c r="B81" s="22" t="str">
        <x:v>中班</x:v>
      </x:c>
      <x:c r="C81" s="22" t="str">
        <x:v>L07</x:v>
      </x:c>
      <x:c r="D81" s="22" t="str">
        <x:v>P0163</x:v>
      </x:c>
      <x:c r="E81" s="22" t="str">
        <x:v>Q06</x:v>
      </x:c>
      <x:c r="F81" s="27" t="n">
        <x:v>21500</x:v>
      </x:c>
      <x:c r="G81" s="27" t="n">
        <x:v>21500</x:v>
      </x:c>
      <x:c r="H81" s="28" t="n">
        <x:v>1</x:v>
      </x:c>
      <x:c r="I81" s="29" t="n">
        <x:v>0.6</x:v>
      </x:c>
      <x:c r="J81" s="26" t="n">
        <x:v>0</x:v>
      </x:c>
      <x:c r="K81" s="26" t="n">
        <x:v>0</x:v>
      </x:c>
      <x:c r="L81" s="22" t="str">
        <x:v>瓶颈优先贪心</x:v>
      </x:c>
    </x:row>
    <x:row r="82" ht="20" customHeight="1">
      <x:c r="A82" s="22" t="str">
        <x:v>2025-03-05</x:v>
      </x:c>
      <x:c r="B82" s="22" t="str">
        <x:v>中班</x:v>
      </x:c>
      <x:c r="C82" s="22" t="str">
        <x:v>L08</x:v>
      </x:c>
      <x:c r="D82" s="22" t="str">
        <x:v>P0004</x:v>
      </x:c>
      <x:c r="E82" s="22" t="str">
        <x:v>Q02</x:v>
      </x:c>
      <x:c r="F82" s="27" t="n">
        <x:v>35000</x:v>
      </x:c>
      <x:c r="G82" s="27" t="n">
        <x:v>35000</x:v>
      </x:c>
      <x:c r="H82" s="28" t="n">
        <x:v>1</x:v>
      </x:c>
      <x:c r="I82" s="29" t="n">
        <x:v>1</x:v>
      </x:c>
      <x:c r="J82" s="26" t="n">
        <x:v>0</x:v>
      </x:c>
      <x:c r="K82" s="26" t="n">
        <x:v>0</x:v>
      </x:c>
      <x:c r="L82" s="22" t="str">
        <x:v>瓶颈优先贪心</x:v>
      </x:c>
    </x:row>
    <x:row r="83" ht="20" customHeight="1">
      <x:c r="A83" s="22" t="str">
        <x:v>2025-03-05</x:v>
      </x:c>
      <x:c r="B83" s="22" t="str">
        <x:v>中班</x:v>
      </x:c>
      <x:c r="C83" s="22" t="str">
        <x:v>L09</x:v>
      </x:c>
      <x:c r="D83" s="22" t="str">
        <x:v>P0016</x:v>
      </x:c>
      <x:c r="E83" s="22" t="str">
        <x:v>Q03</x:v>
      </x:c>
      <x:c r="F83" s="27" t="n">
        <x:v>1056</x:v>
      </x:c>
      <x:c r="G83" s="27" t="n">
        <x:v>1056</x:v>
      </x:c>
      <x:c r="H83" s="28" t="n">
        <x:v>1</x:v>
      </x:c>
      <x:c r="I83" s="29" t="n">
        <x:v>1</x:v>
      </x:c>
      <x:c r="J83" s="26" t="n">
        <x:v>0</x:v>
      </x:c>
      <x:c r="K83" s="26" t="n">
        <x:v>0</x:v>
      </x:c>
      <x:c r="L83" s="22" t="str">
        <x:v>瓶颈优先贪心</x:v>
      </x:c>
    </x:row>
    <x:row r="84" ht="20" customHeight="1">
      <x:c r="A84" s="22" t="str">
        <x:v>2025-03-05</x:v>
      </x:c>
      <x:c r="B84" s="22" t="str">
        <x:v>中班</x:v>
      </x:c>
      <x:c r="C84" s="22" t="str">
        <x:v>L10</x:v>
      </x:c>
      <x:c r="D84" s="22" t="str">
        <x:v>P0014</x:v>
      </x:c>
      <x:c r="E84" s="22" t="str">
        <x:v>Q03</x:v>
      </x:c>
      <x:c r="F84" s="27" t="n">
        <x:v>110000</x:v>
      </x:c>
      <x:c r="G84" s="27" t="n">
        <x:v>110000</x:v>
      </x:c>
      <x:c r="H84" s="28" t="n">
        <x:v>1</x:v>
      </x:c>
      <x:c r="I84" s="29" t="n">
        <x:v>0.877029</x:v>
      </x:c>
      <x:c r="J84" s="26" t="n">
        <x:v>0</x:v>
      </x:c>
      <x:c r="K84" s="26" t="n">
        <x:v>0</x:v>
      </x:c>
      <x:c r="L84" s="22" t="str">
        <x:v>瓶颈优先贪心</x:v>
      </x:c>
    </x:row>
    <x:row r="85" ht="20" customHeight="1">
      <x:c r="A85" s="22" t="str">
        <x:v>2025-03-05</x:v>
      </x:c>
      <x:c r="B85" s="22" t="str">
        <x:v>中班</x:v>
      </x:c>
      <x:c r="C85" s="22" t="str">
        <x:v>L11</x:v>
      </x:c>
      <x:c r="D85" s="22" t="str">
        <x:v>P0043</x:v>
      </x:c>
      <x:c r="E85" s="22" t="str">
        <x:v>Q04</x:v>
      </x:c>
      <x:c r="F85" s="27" t="n">
        <x:v>35000</x:v>
      </x:c>
      <x:c r="G85" s="27" t="n">
        <x:v>35000</x:v>
      </x:c>
      <x:c r="H85" s="28" t="n">
        <x:v>1</x:v>
      </x:c>
      <x:c r="I85" s="29" t="n">
        <x:v>1</x:v>
      </x:c>
      <x:c r="J85" s="26" t="n">
        <x:v>0</x:v>
      </x:c>
      <x:c r="K85" s="26" t="n">
        <x:v>0</x:v>
      </x:c>
      <x:c r="L85" s="22" t="str">
        <x:v>瓶颈优先贪心</x:v>
      </x:c>
    </x:row>
    <x:row r="86" ht="20" customHeight="1">
      <x:c r="A86" s="22" t="str">
        <x:v>2025-03-05</x:v>
      </x:c>
      <x:c r="B86" s="22" t="str">
        <x:v>中班</x:v>
      </x:c>
      <x:c r="C86" s="22" t="str">
        <x:v>L12</x:v>
      </x:c>
      <x:c r="D86" s="22" t="str">
        <x:v>P0014</x:v>
      </x:c>
      <x:c r="E86" s="22" t="str">
        <x:v>Q03</x:v>
      </x:c>
      <x:c r="F86" s="27" t="n">
        <x:v>35000</x:v>
      </x:c>
      <x:c r="G86" s="27" t="n">
        <x:v>35000</x:v>
      </x:c>
      <x:c r="H86" s="28" t="n">
        <x:v>1</x:v>
      </x:c>
      <x:c r="I86" s="29" t="n">
        <x:v>0.44839</x:v>
      </x:c>
      <x:c r="J86" s="26" t="n">
        <x:v>0</x:v>
      </x:c>
      <x:c r="K86" s="26" t="n">
        <x:v>0</x:v>
      </x:c>
      <x:c r="L86" s="22" t="str">
        <x:v>瓶颈优先贪心</x:v>
      </x:c>
    </x:row>
    <x:row r="87" ht="20" customHeight="1">
      <x:c r="A87" s="22" t="str">
        <x:v>2025-03-05</x:v>
      </x:c>
      <x:c r="B87" s="22" t="str">
        <x:v>中班</x:v>
      </x:c>
      <x:c r="C87" s="22" t="str">
        <x:v>L13</x:v>
      </x:c>
      <x:c r="D87" s="22" t="str">
        <x:v>P0059</x:v>
      </x:c>
      <x:c r="E87" s="22" t="str">
        <x:v>Q08</x:v>
      </x:c>
      <x:c r="F87" s="27" t="n">
        <x:v>13500</x:v>
      </x:c>
      <x:c r="G87" s="27" t="n">
        <x:v>13500</x:v>
      </x:c>
      <x:c r="H87" s="28" t="n">
        <x:v>1</x:v>
      </x:c>
      <x:c r="I87" s="29" t="n">
        <x:v>0.8</x:v>
      </x:c>
      <x:c r="J87" s="26" t="n">
        <x:v>0</x:v>
      </x:c>
      <x:c r="K87" s="26" t="n">
        <x:v>0</x:v>
      </x:c>
      <x:c r="L87" s="22" t="str">
        <x:v>瓶颈优先贪心</x:v>
      </x:c>
    </x:row>
    <x:row r="88" ht="20" customHeight="1">
      <x:c r="A88" s="22" t="str">
        <x:v>2025-03-05</x:v>
      </x:c>
      <x:c r="B88" s="22" t="str">
        <x:v>中班</x:v>
      </x:c>
      <x:c r="C88" s="22" t="str">
        <x:v>L14</x:v>
      </x:c>
      <x:c r="D88" s="22" t="str">
        <x:v>P0059</x:v>
      </x:c>
      <x:c r="E88" s="22" t="str">
        <x:v>Q08</x:v>
      </x:c>
      <x:c r="F88" s="27" t="n">
        <x:v>13000</x:v>
      </x:c>
      <x:c r="G88" s="27" t="n">
        <x:v>13000</x:v>
      </x:c>
      <x:c r="H88" s="28" t="n">
        <x:v>1</x:v>
      </x:c>
      <x:c r="I88" s="29" t="n">
        <x:v>0.4</x:v>
      </x:c>
      <x:c r="J88" s="26" t="n">
        <x:v>0</x:v>
      </x:c>
      <x:c r="K88" s="26" t="n">
        <x:v>0</x:v>
      </x:c>
      <x:c r="L88" s="22" t="str">
        <x:v>瓶颈优先贪心</x:v>
      </x:c>
    </x:row>
    <x:row r="89" ht="20" customHeight="1">
      <x:c r="A89" s="22" t="str">
        <x:v>2025-03-06</x:v>
      </x:c>
      <x:c r="B89" s="22" t="str">
        <x:v>早班</x:v>
      </x:c>
      <x:c r="C89" s="22" t="str">
        <x:v>L01</x:v>
      </x:c>
      <x:c r="D89" s="22" t="str">
        <x:v>P0022</x:v>
      </x:c>
      <x:c r="E89" s="22" t="str">
        <x:v>Q11</x:v>
      </x:c>
      <x:c r="F89" s="27" t="n">
        <x:v>18000</x:v>
      </x:c>
      <x:c r="G89" s="27" t="n">
        <x:v>18000</x:v>
      </x:c>
      <x:c r="H89" s="28" t="n">
        <x:v>1</x:v>
      </x:c>
      <x:c r="I89" s="29" t="n">
        <x:v>0.925811</x:v>
      </x:c>
      <x:c r="J89" s="26" t="n">
        <x:v>1</x:v>
      </x:c>
      <x:c r="K89" s="26" t="n">
        <x:v>1</x:v>
      </x:c>
      <x:c r="L89" s="22" t="str">
        <x:v>瓶颈优先贪心</x:v>
      </x:c>
    </x:row>
    <x:row r="90" ht="20" customHeight="1">
      <x:c r="A90" s="22" t="str">
        <x:v>2025-03-06</x:v>
      </x:c>
      <x:c r="B90" s="22" t="str">
        <x:v>早班</x:v>
      </x:c>
      <x:c r="C90" s="22" t="str">
        <x:v>L02</x:v>
      </x:c>
      <x:c r="D90" s="22" t="str">
        <x:v>P0025</x:v>
      </x:c>
      <x:c r="E90" s="22" t="str">
        <x:v>Q03</x:v>
      </x:c>
      <x:c r="F90" s="27" t="n">
        <x:v>27073</x:v>
      </x:c>
      <x:c r="G90" s="27" t="n">
        <x:v>27073</x:v>
      </x:c>
      <x:c r="H90" s="28" t="n">
        <x:v>1</x:v>
      </x:c>
      <x:c r="I90" s="29" t="n">
        <x:v>0.6</x:v>
      </x:c>
      <x:c r="J90" s="26" t="n">
        <x:v>0</x:v>
      </x:c>
      <x:c r="K90" s="26" t="n">
        <x:v>0</x:v>
      </x:c>
      <x:c r="L90" s="22" t="str">
        <x:v>瓶颈优先贪心</x:v>
      </x:c>
    </x:row>
    <x:row r="91" ht="20" customHeight="1">
      <x:c r="A91" s="22" t="str">
        <x:v>2025-03-06</x:v>
      </x:c>
      <x:c r="B91" s="22" t="str">
        <x:v>早班</x:v>
      </x:c>
      <x:c r="C91" s="22" t="str">
        <x:v>L03</x:v>
      </x:c>
      <x:c r="D91" s="22" t="str">
        <x:v>P0159</x:v>
      </x:c>
      <x:c r="E91" s="22" t="str">
        <x:v>Q03</x:v>
      </x:c>
      <x:c r="F91" s="27" t="n">
        <x:v>37992</x:v>
      </x:c>
      <x:c r="G91" s="27" t="n">
        <x:v>37992</x:v>
      </x:c>
      <x:c r="H91" s="28" t="n">
        <x:v>1</x:v>
      </x:c>
      <x:c r="I91" s="29" t="n">
        <x:v>1</x:v>
      </x:c>
      <x:c r="J91" s="26" t="n">
        <x:v>0</x:v>
      </x:c>
      <x:c r="K91" s="26" t="n">
        <x:v>0</x:v>
      </x:c>
      <x:c r="L91" s="22" t="str">
        <x:v>瓶颈优先贪心</x:v>
      </x:c>
    </x:row>
    <x:row r="92" ht="20" customHeight="1">
      <x:c r="A92" s="22" t="str">
        <x:v>2025-03-06</x:v>
      </x:c>
      <x:c r="B92" s="22" t="str">
        <x:v>早班</x:v>
      </x:c>
      <x:c r="C92" s="22" t="str">
        <x:v>L04</x:v>
      </x:c>
      <x:c r="D92" s="22" t="str">
        <x:v>P0163</x:v>
      </x:c>
      <x:c r="E92" s="22" t="str">
        <x:v>Q06</x:v>
      </x:c>
      <x:c r="F92" s="27" t="n">
        <x:v>21500</x:v>
      </x:c>
      <x:c r="G92" s="27" t="n">
        <x:v>21500</x:v>
      </x:c>
      <x:c r="H92" s="28" t="n">
        <x:v>1</x:v>
      </x:c>
      <x:c r="I92" s="29" t="n">
        <x:v>1</x:v>
      </x:c>
      <x:c r="J92" s="26" t="n">
        <x:v>0</x:v>
      </x:c>
      <x:c r="K92" s="26" t="n">
        <x:v>0</x:v>
      </x:c>
      <x:c r="L92" s="22" t="str">
        <x:v>瓶颈优先贪心</x:v>
      </x:c>
    </x:row>
    <x:row r="93" ht="20" customHeight="1">
      <x:c r="A93" s="22" t="str">
        <x:v>2025-03-06</x:v>
      </x:c>
      <x:c r="B93" s="22" t="str">
        <x:v>早班</x:v>
      </x:c>
      <x:c r="C93" s="22" t="str">
        <x:v>L05</x:v>
      </x:c>
      <x:c r="D93" s="22" t="str"/>
      <x:c r="E93" s="22" t="str"/>
      <x:c r="F93" s="27" t="n">
        <x:v>0</x:v>
      </x:c>
      <x:c r="G93" s="27" t="n">
        <x:v>0</x:v>
      </x:c>
      <x:c r="H93" s="28" t="n">
        <x:v>0</x:v>
      </x:c>
      <x:c r="I93" s="29" t="n">
        <x:v>0</x:v>
      </x:c>
      <x:c r="J93" s="26" t="n">
        <x:v>0</x:v>
      </x:c>
      <x:c r="K93" s="26" t="n">
        <x:v>0</x:v>
      </x:c>
      <x:c r="L93" s="22" t="str">
        <x:v>瓶颈优先贪心</x:v>
      </x:c>
    </x:row>
    <x:row r="94" ht="20" customHeight="1">
      <x:c r="A94" s="22" t="str">
        <x:v>2025-03-06</x:v>
      </x:c>
      <x:c r="B94" s="22" t="str">
        <x:v>早班</x:v>
      </x:c>
      <x:c r="C94" s="22" t="str">
        <x:v>L06</x:v>
      </x:c>
      <x:c r="D94" s="22" t="str">
        <x:v>P0014</x:v>
      </x:c>
      <x:c r="E94" s="22" t="str">
        <x:v>Q03</x:v>
      </x:c>
      <x:c r="F94" s="27" t="n">
        <x:v>34000</x:v>
      </x:c>
      <x:c r="G94" s="27" t="n">
        <x:v>34000</x:v>
      </x:c>
      <x:c r="H94" s="28" t="n">
        <x:v>1</x:v>
      </x:c>
      <x:c r="I94" s="29" t="n">
        <x:v>0.464246</x:v>
      </x:c>
      <x:c r="J94" s="26" t="n">
        <x:v>0</x:v>
      </x:c>
      <x:c r="K94" s="26" t="n">
        <x:v>0</x:v>
      </x:c>
      <x:c r="L94" s="22" t="str">
        <x:v>瓶颈优先贪心</x:v>
      </x:c>
    </x:row>
    <x:row r="95" ht="20" customHeight="1">
      <x:c r="A95" s="22" t="str">
        <x:v>2025-03-06</x:v>
      </x:c>
      <x:c r="B95" s="22" t="str">
        <x:v>早班</x:v>
      </x:c>
      <x:c r="C95" s="22" t="str">
        <x:v>L07</x:v>
      </x:c>
      <x:c r="D95" s="22" t="str">
        <x:v>P0163</x:v>
      </x:c>
      <x:c r="E95" s="22" t="str">
        <x:v>Q06</x:v>
      </x:c>
      <x:c r="F95" s="27" t="n">
        <x:v>21500</x:v>
      </x:c>
      <x:c r="G95" s="27" t="n">
        <x:v>21500</x:v>
      </x:c>
      <x:c r="H95" s="28" t="n">
        <x:v>1</x:v>
      </x:c>
      <x:c r="I95" s="29" t="n">
        <x:v>0.6</x:v>
      </x:c>
      <x:c r="J95" s="26" t="n">
        <x:v>0</x:v>
      </x:c>
      <x:c r="K95" s="26" t="n">
        <x:v>0</x:v>
      </x:c>
      <x:c r="L95" s="22" t="str">
        <x:v>瓶颈优先贪心</x:v>
      </x:c>
    </x:row>
    <x:row r="96" ht="20" customHeight="1">
      <x:c r="A96" s="22" t="str">
        <x:v>2025-03-06</x:v>
      </x:c>
      <x:c r="B96" s="22" t="str">
        <x:v>早班</x:v>
      </x:c>
      <x:c r="C96" s="22" t="str">
        <x:v>L08</x:v>
      </x:c>
      <x:c r="D96" s="22" t="str">
        <x:v>P0004</x:v>
      </x:c>
      <x:c r="E96" s="22" t="str">
        <x:v>Q02</x:v>
      </x:c>
      <x:c r="F96" s="27" t="n">
        <x:v>35000</x:v>
      </x:c>
      <x:c r="G96" s="27" t="n">
        <x:v>35000</x:v>
      </x:c>
      <x:c r="H96" s="28" t="n">
        <x:v>1</x:v>
      </x:c>
      <x:c r="I96" s="29" t="n">
        <x:v>1</x:v>
      </x:c>
      <x:c r="J96" s="26" t="n">
        <x:v>0</x:v>
      </x:c>
      <x:c r="K96" s="26" t="n">
        <x:v>0</x:v>
      </x:c>
      <x:c r="L96" s="22" t="str">
        <x:v>瓶颈优先贪心</x:v>
      </x:c>
    </x:row>
    <x:row r="97" ht="20" customHeight="1">
      <x:c r="A97" s="22" t="str">
        <x:v>2025-03-06</x:v>
      </x:c>
      <x:c r="B97" s="22" t="str">
        <x:v>早班</x:v>
      </x:c>
      <x:c r="C97" s="22" t="str">
        <x:v>L09</x:v>
      </x:c>
      <x:c r="D97" s="22" t="str">
        <x:v>P0016</x:v>
      </x:c>
      <x:c r="E97" s="22" t="str">
        <x:v>Q03</x:v>
      </x:c>
      <x:c r="F97" s="27" t="n">
        <x:v>1056</x:v>
      </x:c>
      <x:c r="G97" s="27" t="n">
        <x:v>1056</x:v>
      </x:c>
      <x:c r="H97" s="28" t="n">
        <x:v>1</x:v>
      </x:c>
      <x:c r="I97" s="29" t="n">
        <x:v>1</x:v>
      </x:c>
      <x:c r="J97" s="26" t="n">
        <x:v>0</x:v>
      </x:c>
      <x:c r="K97" s="26" t="n">
        <x:v>0</x:v>
      </x:c>
      <x:c r="L97" s="22" t="str">
        <x:v>瓶颈优先贪心</x:v>
      </x:c>
    </x:row>
    <x:row r="98" ht="20" customHeight="1">
      <x:c r="A98" s="22" t="str">
        <x:v>2025-03-06</x:v>
      </x:c>
      <x:c r="B98" s="22" t="str">
        <x:v>早班</x:v>
      </x:c>
      <x:c r="C98" s="22" t="str">
        <x:v>L10</x:v>
      </x:c>
      <x:c r="D98" s="22" t="str">
        <x:v>P0014</x:v>
      </x:c>
      <x:c r="E98" s="22" t="str">
        <x:v>Q03</x:v>
      </x:c>
      <x:c r="F98" s="27" t="n">
        <x:v>110000</x:v>
      </x:c>
      <x:c r="G98" s="27" t="n">
        <x:v>110000</x:v>
      </x:c>
      <x:c r="H98" s="28" t="n">
        <x:v>1</x:v>
      </x:c>
      <x:c r="I98" s="29" t="n">
        <x:v>0.877029</x:v>
      </x:c>
      <x:c r="J98" s="26" t="n">
        <x:v>0</x:v>
      </x:c>
      <x:c r="K98" s="26" t="n">
        <x:v>0</x:v>
      </x:c>
      <x:c r="L98" s="22" t="str">
        <x:v>瓶颈优先贪心</x:v>
      </x:c>
    </x:row>
    <x:row r="99" ht="20" customHeight="1">
      <x:c r="A99" s="22" t="str">
        <x:v>2025-03-06</x:v>
      </x:c>
      <x:c r="B99" s="22" t="str">
        <x:v>早班</x:v>
      </x:c>
      <x:c r="C99" s="22" t="str">
        <x:v>L11</x:v>
      </x:c>
      <x:c r="D99" s="22" t="str">
        <x:v>P0043</x:v>
      </x:c>
      <x:c r="E99" s="22" t="str">
        <x:v>Q04</x:v>
      </x:c>
      <x:c r="F99" s="27" t="n">
        <x:v>35000</x:v>
      </x:c>
      <x:c r="G99" s="27" t="n">
        <x:v>35000</x:v>
      </x:c>
      <x:c r="H99" s="28" t="n">
        <x:v>1</x:v>
      </x:c>
      <x:c r="I99" s="29" t="n">
        <x:v>1</x:v>
      </x:c>
      <x:c r="J99" s="26" t="n">
        <x:v>0</x:v>
      </x:c>
      <x:c r="K99" s="26" t="n">
        <x:v>0</x:v>
      </x:c>
      <x:c r="L99" s="22" t="str">
        <x:v>瓶颈优先贪心</x:v>
      </x:c>
    </x:row>
    <x:row r="100" ht="20" customHeight="1">
      <x:c r="A100" s="22" t="str">
        <x:v>2025-03-06</x:v>
      </x:c>
      <x:c r="B100" s="22" t="str">
        <x:v>早班</x:v>
      </x:c>
      <x:c r="C100" s="22" t="str">
        <x:v>L12</x:v>
      </x:c>
      <x:c r="D100" s="22" t="str">
        <x:v>P0014</x:v>
      </x:c>
      <x:c r="E100" s="22" t="str">
        <x:v>Q03</x:v>
      </x:c>
      <x:c r="F100" s="27" t="n">
        <x:v>35000</x:v>
      </x:c>
      <x:c r="G100" s="27" t="n">
        <x:v>35000</x:v>
      </x:c>
      <x:c r="H100" s="28" t="n">
        <x:v>1</x:v>
      </x:c>
      <x:c r="I100" s="29" t="n">
        <x:v>0.44839</x:v>
      </x:c>
      <x:c r="J100" s="26" t="n">
        <x:v>0</x:v>
      </x:c>
      <x:c r="K100" s="26" t="n">
        <x:v>0</x:v>
      </x:c>
      <x:c r="L100" s="22" t="str">
        <x:v>瓶颈优先贪心</x:v>
      </x:c>
    </x:row>
    <x:row r="101" ht="20" customHeight="1">
      <x:c r="A101" s="22" t="str">
        <x:v>2025-03-06</x:v>
      </x:c>
      <x:c r="B101" s="22" t="str">
        <x:v>早班</x:v>
      </x:c>
      <x:c r="C101" s="22" t="str">
        <x:v>L13</x:v>
      </x:c>
      <x:c r="D101" s="22" t="str">
        <x:v>P0059</x:v>
      </x:c>
      <x:c r="E101" s="22" t="str">
        <x:v>Q08</x:v>
      </x:c>
      <x:c r="F101" s="27" t="n">
        <x:v>13500</x:v>
      </x:c>
      <x:c r="G101" s="27" t="n">
        <x:v>13500</x:v>
      </x:c>
      <x:c r="H101" s="28" t="n">
        <x:v>1</x:v>
      </x:c>
      <x:c r="I101" s="29" t="n">
        <x:v>0.8</x:v>
      </x:c>
      <x:c r="J101" s="26" t="n">
        <x:v>0</x:v>
      </x:c>
      <x:c r="K101" s="26" t="n">
        <x:v>0</x:v>
      </x:c>
      <x:c r="L101" s="22" t="str">
        <x:v>瓶颈优先贪心</x:v>
      </x:c>
    </x:row>
    <x:row r="102" ht="20" customHeight="1">
      <x:c r="A102" s="22" t="str">
        <x:v>2025-03-06</x:v>
      </x:c>
      <x:c r="B102" s="22" t="str">
        <x:v>早班</x:v>
      </x:c>
      <x:c r="C102" s="22" t="str">
        <x:v>L14</x:v>
      </x:c>
      <x:c r="D102" s="22" t="str">
        <x:v>P0059</x:v>
      </x:c>
      <x:c r="E102" s="22" t="str">
        <x:v>Q08</x:v>
      </x:c>
      <x:c r="F102" s="27" t="n">
        <x:v>13000</x:v>
      </x:c>
      <x:c r="G102" s="27" t="n">
        <x:v>13000</x:v>
      </x:c>
      <x:c r="H102" s="28" t="n">
        <x:v>1</x:v>
      </x:c>
      <x:c r="I102" s="29" t="n">
        <x:v>0.4</x:v>
      </x:c>
      <x:c r="J102" s="26" t="n">
        <x:v>0</x:v>
      </x:c>
      <x:c r="K102" s="26" t="n">
        <x:v>0</x:v>
      </x:c>
      <x:c r="L102" s="22" t="str">
        <x:v>瓶颈优先贪心</x:v>
      </x:c>
    </x:row>
    <x:row r="103" ht="20" customHeight="1">
      <x:c r="A103" s="22" t="str">
        <x:v>2025-03-06</x:v>
      </x:c>
      <x:c r="B103" s="22" t="str">
        <x:v>中班</x:v>
      </x:c>
      <x:c r="C103" s="22" t="str">
        <x:v>L01</x:v>
      </x:c>
      <x:c r="D103" s="22" t="str">
        <x:v>P0022</x:v>
      </x:c>
      <x:c r="E103" s="22" t="str">
        <x:v>Q11</x:v>
      </x:c>
      <x:c r="F103" s="27" t="n">
        <x:v>18000</x:v>
      </x:c>
      <x:c r="G103" s="27" t="n">
        <x:v>18000</x:v>
      </x:c>
      <x:c r="H103" s="28" t="n">
        <x:v>1</x:v>
      </x:c>
      <x:c r="I103" s="29" t="n">
        <x:v>0.925811</x:v>
      </x:c>
      <x:c r="J103" s="26" t="n">
        <x:v>0</x:v>
      </x:c>
      <x:c r="K103" s="26" t="n">
        <x:v>0</x:v>
      </x:c>
      <x:c r="L103" s="22" t="str">
        <x:v>瓶颈优先贪心</x:v>
      </x:c>
    </x:row>
    <x:row r="104" ht="20" customHeight="1">
      <x:c r="A104" s="22" t="str">
        <x:v>2025-03-06</x:v>
      </x:c>
      <x:c r="B104" s="22" t="str">
        <x:v>中班</x:v>
      </x:c>
      <x:c r="C104" s="22" t="str">
        <x:v>L02</x:v>
      </x:c>
      <x:c r="D104" s="22" t="str">
        <x:v>P0025</x:v>
      </x:c>
      <x:c r="E104" s="22" t="str">
        <x:v>Q03</x:v>
      </x:c>
      <x:c r="F104" s="27" t="n">
        <x:v>27073</x:v>
      </x:c>
      <x:c r="G104" s="27" t="n">
        <x:v>27073</x:v>
      </x:c>
      <x:c r="H104" s="28" t="n">
        <x:v>1</x:v>
      </x:c>
      <x:c r="I104" s="29" t="n">
        <x:v>0.6</x:v>
      </x:c>
      <x:c r="J104" s="26" t="n">
        <x:v>0</x:v>
      </x:c>
      <x:c r="K104" s="26" t="n">
        <x:v>0</x:v>
      </x:c>
      <x:c r="L104" s="22" t="str">
        <x:v>瓶颈优先贪心</x:v>
      </x:c>
    </x:row>
    <x:row r="105" ht="20" customHeight="1">
      <x:c r="A105" s="22" t="str">
        <x:v>2025-03-06</x:v>
      </x:c>
      <x:c r="B105" s="22" t="str">
        <x:v>中班</x:v>
      </x:c>
      <x:c r="C105" s="22" t="str">
        <x:v>L03</x:v>
      </x:c>
      <x:c r="D105" s="22" t="str">
        <x:v>P0159</x:v>
      </x:c>
      <x:c r="E105" s="22" t="str">
        <x:v>Q03</x:v>
      </x:c>
      <x:c r="F105" s="27" t="n">
        <x:v>37992</x:v>
      </x:c>
      <x:c r="G105" s="27" t="n">
        <x:v>37992</x:v>
      </x:c>
      <x:c r="H105" s="28" t="n">
        <x:v>1</x:v>
      </x:c>
      <x:c r="I105" s="29" t="n">
        <x:v>1</x:v>
      </x:c>
      <x:c r="J105" s="26" t="n">
        <x:v>0</x:v>
      </x:c>
      <x:c r="K105" s="26" t="n">
        <x:v>0</x:v>
      </x:c>
      <x:c r="L105" s="22" t="str">
        <x:v>瓶颈优先贪心</x:v>
      </x:c>
    </x:row>
    <x:row r="106" ht="20" customHeight="1">
      <x:c r="A106" s="22" t="str">
        <x:v>2025-03-06</x:v>
      </x:c>
      <x:c r="B106" s="22" t="str">
        <x:v>中班</x:v>
      </x:c>
      <x:c r="C106" s="22" t="str">
        <x:v>L04</x:v>
      </x:c>
      <x:c r="D106" s="22" t="str">
        <x:v>P0163</x:v>
      </x:c>
      <x:c r="E106" s="22" t="str">
        <x:v>Q06</x:v>
      </x:c>
      <x:c r="F106" s="27" t="n">
        <x:v>21500</x:v>
      </x:c>
      <x:c r="G106" s="27" t="n">
        <x:v>21500</x:v>
      </x:c>
      <x:c r="H106" s="28" t="n">
        <x:v>1</x:v>
      </x:c>
      <x:c r="I106" s="29" t="n">
        <x:v>1</x:v>
      </x:c>
      <x:c r="J106" s="26" t="n">
        <x:v>0</x:v>
      </x:c>
      <x:c r="K106" s="26" t="n">
        <x:v>0</x:v>
      </x:c>
      <x:c r="L106" s="22" t="str">
        <x:v>瓶颈优先贪心</x:v>
      </x:c>
    </x:row>
    <x:row r="107" ht="20" customHeight="1">
      <x:c r="A107" s="22" t="str">
        <x:v>2025-03-06</x:v>
      </x:c>
      <x:c r="B107" s="22" t="str">
        <x:v>中班</x:v>
      </x:c>
      <x:c r="C107" s="22" t="str">
        <x:v>L05</x:v>
      </x:c>
      <x:c r="D107" s="22" t="str"/>
      <x:c r="E107" s="22" t="str"/>
      <x:c r="F107" s="27" t="n">
        <x:v>0</x:v>
      </x:c>
      <x:c r="G107" s="27" t="n">
        <x:v>0</x:v>
      </x:c>
      <x:c r="H107" s="28" t="n">
        <x:v>0</x:v>
      </x:c>
      <x:c r="I107" s="29" t="n">
        <x:v>0</x:v>
      </x:c>
      <x:c r="J107" s="26" t="n">
        <x:v>0</x:v>
      </x:c>
      <x:c r="K107" s="26" t="n">
        <x:v>0</x:v>
      </x:c>
      <x:c r="L107" s="22" t="str">
        <x:v>瓶颈优先贪心</x:v>
      </x:c>
    </x:row>
    <x:row r="108" ht="20" customHeight="1">
      <x:c r="A108" s="22" t="str">
        <x:v>2025-03-06</x:v>
      </x:c>
      <x:c r="B108" s="22" t="str">
        <x:v>中班</x:v>
      </x:c>
      <x:c r="C108" s="22" t="str">
        <x:v>L06</x:v>
      </x:c>
      <x:c r="D108" s="22" t="str">
        <x:v>P0013</x:v>
      </x:c>
      <x:c r="E108" s="22" t="str">
        <x:v>Q03</x:v>
      </x:c>
      <x:c r="F108" s="27" t="n">
        <x:v>34000</x:v>
      </x:c>
      <x:c r="G108" s="27" t="n">
        <x:v>34000</x:v>
      </x:c>
      <x:c r="H108" s="28" t="n">
        <x:v>1</x:v>
      </x:c>
      <x:c r="I108" s="29" t="n">
        <x:v>0.884614</x:v>
      </x:c>
      <x:c r="J108" s="26" t="n">
        <x:v>1</x:v>
      </x:c>
      <x:c r="K108" s="26" t="n">
        <x:v>0</x:v>
      </x:c>
      <x:c r="L108" s="22" t="str">
        <x:v>瓶颈优先贪心</x:v>
      </x:c>
    </x:row>
    <x:row r="109" ht="20" customHeight="1">
      <x:c r="A109" s="22" t="str">
        <x:v>2025-03-06</x:v>
      </x:c>
      <x:c r="B109" s="22" t="str">
        <x:v>中班</x:v>
      </x:c>
      <x:c r="C109" s="22" t="str">
        <x:v>L07</x:v>
      </x:c>
      <x:c r="D109" s="22" t="str">
        <x:v>P0163</x:v>
      </x:c>
      <x:c r="E109" s="22" t="str">
        <x:v>Q06</x:v>
      </x:c>
      <x:c r="F109" s="27" t="n">
        <x:v>21500</x:v>
      </x:c>
      <x:c r="G109" s="27" t="n">
        <x:v>21500</x:v>
      </x:c>
      <x:c r="H109" s="28" t="n">
        <x:v>1</x:v>
      </x:c>
      <x:c r="I109" s="29" t="n">
        <x:v>0.6</x:v>
      </x:c>
      <x:c r="J109" s="26" t="n">
        <x:v>0</x:v>
      </x:c>
      <x:c r="K109" s="26" t="n">
        <x:v>0</x:v>
      </x:c>
      <x:c r="L109" s="22" t="str">
        <x:v>瓶颈优先贪心</x:v>
      </x:c>
    </x:row>
    <x:row r="110" ht="20" customHeight="1">
      <x:c r="A110" s="22" t="str">
        <x:v>2025-03-06</x:v>
      </x:c>
      <x:c r="B110" s="22" t="str">
        <x:v>中班</x:v>
      </x:c>
      <x:c r="C110" s="22" t="str">
        <x:v>L08</x:v>
      </x:c>
      <x:c r="D110" s="22" t="str">
        <x:v>P0004</x:v>
      </x:c>
      <x:c r="E110" s="22" t="str">
        <x:v>Q02</x:v>
      </x:c>
      <x:c r="F110" s="27" t="n">
        <x:v>35000</x:v>
      </x:c>
      <x:c r="G110" s="27" t="n">
        <x:v>35000</x:v>
      </x:c>
      <x:c r="H110" s="28" t="n">
        <x:v>1</x:v>
      </x:c>
      <x:c r="I110" s="29" t="n">
        <x:v>1</x:v>
      </x:c>
      <x:c r="J110" s="26" t="n">
        <x:v>0</x:v>
      </x:c>
      <x:c r="K110" s="26" t="n">
        <x:v>0</x:v>
      </x:c>
      <x:c r="L110" s="22" t="str">
        <x:v>瓶颈优先贪心</x:v>
      </x:c>
    </x:row>
    <x:row r="111" ht="20" customHeight="1">
      <x:c r="A111" s="22" t="str">
        <x:v>2025-03-06</x:v>
      </x:c>
      <x:c r="B111" s="22" t="str">
        <x:v>中班</x:v>
      </x:c>
      <x:c r="C111" s="22" t="str">
        <x:v>L09</x:v>
      </x:c>
      <x:c r="D111" s="22" t="str">
        <x:v>P0016</x:v>
      </x:c>
      <x:c r="E111" s="22" t="str">
        <x:v>Q03</x:v>
      </x:c>
      <x:c r="F111" s="27" t="n">
        <x:v>1056</x:v>
      </x:c>
      <x:c r="G111" s="27" t="n">
        <x:v>1056</x:v>
      </x:c>
      <x:c r="H111" s="28" t="n">
        <x:v>1</x:v>
      </x:c>
      <x:c r="I111" s="29" t="n">
        <x:v>1</x:v>
      </x:c>
      <x:c r="J111" s="26" t="n">
        <x:v>0</x:v>
      </x:c>
      <x:c r="K111" s="26" t="n">
        <x:v>0</x:v>
      </x:c>
      <x:c r="L111" s="22" t="str">
        <x:v>瓶颈优先贪心</x:v>
      </x:c>
    </x:row>
    <x:row r="112" ht="20" customHeight="1">
      <x:c r="A112" s="22" t="str">
        <x:v>2025-03-06</x:v>
      </x:c>
      <x:c r="B112" s="22" t="str">
        <x:v>中班</x:v>
      </x:c>
      <x:c r="C112" s="22" t="str">
        <x:v>L10</x:v>
      </x:c>
      <x:c r="D112" s="22" t="str">
        <x:v>P0014</x:v>
      </x:c>
      <x:c r="E112" s="22" t="str">
        <x:v>Q03</x:v>
      </x:c>
      <x:c r="F112" s="27" t="n">
        <x:v>110000</x:v>
      </x:c>
      <x:c r="G112" s="27" t="n">
        <x:v>110000</x:v>
      </x:c>
      <x:c r="H112" s="28" t="n">
        <x:v>1</x:v>
      </x:c>
      <x:c r="I112" s="29" t="n">
        <x:v>0.877029</x:v>
      </x:c>
      <x:c r="J112" s="26" t="n">
        <x:v>0</x:v>
      </x:c>
      <x:c r="K112" s="26" t="n">
        <x:v>0</x:v>
      </x:c>
      <x:c r="L112" s="22" t="str">
        <x:v>瓶颈优先贪心</x:v>
      </x:c>
    </x:row>
    <x:row r="113" ht="20" customHeight="1">
      <x:c r="A113" s="22" t="str">
        <x:v>2025-03-06</x:v>
      </x:c>
      <x:c r="B113" s="22" t="str">
        <x:v>中班</x:v>
      </x:c>
      <x:c r="C113" s="22" t="str">
        <x:v>L11</x:v>
      </x:c>
      <x:c r="D113" s="22" t="str">
        <x:v>P0013</x:v>
      </x:c>
      <x:c r="E113" s="22" t="str">
        <x:v>Q03</x:v>
      </x:c>
      <x:c r="F113" s="27" t="n">
        <x:v>35000</x:v>
      </x:c>
      <x:c r="G113" s="27" t="n">
        <x:v>35000</x:v>
      </x:c>
      <x:c r="H113" s="28" t="n">
        <x:v>1</x:v>
      </x:c>
      <x:c r="I113" s="29" t="n">
        <x:v>0.999071</x:v>
      </x:c>
      <x:c r="J113" s="26" t="n">
        <x:v>1</x:v>
      </x:c>
      <x:c r="K113" s="26" t="n">
        <x:v>1</x:v>
      </x:c>
      <x:c r="L113" s="22" t="str">
        <x:v>瓶颈优先贪心</x:v>
      </x:c>
    </x:row>
    <x:row r="114" ht="20" customHeight="1">
      <x:c r="A114" s="22" t="str">
        <x:v>2025-03-06</x:v>
      </x:c>
      <x:c r="B114" s="22" t="str">
        <x:v>中班</x:v>
      </x:c>
      <x:c r="C114" s="22" t="str">
        <x:v>L12</x:v>
      </x:c>
      <x:c r="D114" s="22" t="str">
        <x:v>P0013</x:v>
      </x:c>
      <x:c r="E114" s="22" t="str">
        <x:v>Q03</x:v>
      </x:c>
      <x:c r="F114" s="27" t="n">
        <x:v>35000</x:v>
      </x:c>
      <x:c r="G114" s="27" t="n">
        <x:v>35000</x:v>
      </x:c>
      <x:c r="H114" s="28" t="n">
        <x:v>1</x:v>
      </x:c>
      <x:c r="I114" s="29" t="n">
        <x:v>0.695541</x:v>
      </x:c>
      <x:c r="J114" s="26" t="n">
        <x:v>1</x:v>
      </x:c>
      <x:c r="K114" s="26" t="n">
        <x:v>0</x:v>
      </x:c>
      <x:c r="L114" s="22" t="str">
        <x:v>瓶颈优先贪心</x:v>
      </x:c>
    </x:row>
    <x:row r="115" ht="20" customHeight="1">
      <x:c r="A115" s="22" t="str">
        <x:v>2025-03-06</x:v>
      </x:c>
      <x:c r="B115" s="22" t="str">
        <x:v>中班</x:v>
      </x:c>
      <x:c r="C115" s="22" t="str">
        <x:v>L13</x:v>
      </x:c>
      <x:c r="D115" s="22" t="str">
        <x:v>P0059</x:v>
      </x:c>
      <x:c r="E115" s="22" t="str">
        <x:v>Q08</x:v>
      </x:c>
      <x:c r="F115" s="27" t="n">
        <x:v>13500</x:v>
      </x:c>
      <x:c r="G115" s="27" t="n">
        <x:v>13500</x:v>
      </x:c>
      <x:c r="H115" s="28" t="n">
        <x:v>1</x:v>
      </x:c>
      <x:c r="I115" s="29" t="n">
        <x:v>0.8</x:v>
      </x:c>
      <x:c r="J115" s="26" t="n">
        <x:v>0</x:v>
      </x:c>
      <x:c r="K115" s="26" t="n">
        <x:v>0</x:v>
      </x:c>
      <x:c r="L115" s="22" t="str">
        <x:v>瓶颈优先贪心</x:v>
      </x:c>
    </x:row>
    <x:row r="116" ht="20" customHeight="1">
      <x:c r="A116" s="22" t="str">
        <x:v>2025-03-06</x:v>
      </x:c>
      <x:c r="B116" s="22" t="str">
        <x:v>中班</x:v>
      </x:c>
      <x:c r="C116" s="22" t="str">
        <x:v>L14</x:v>
      </x:c>
      <x:c r="D116" s="22" t="str">
        <x:v>P0059</x:v>
      </x:c>
      <x:c r="E116" s="22" t="str">
        <x:v>Q08</x:v>
      </x:c>
      <x:c r="F116" s="27" t="n">
        <x:v>13000</x:v>
      </x:c>
      <x:c r="G116" s="27" t="n">
        <x:v>13000</x:v>
      </x:c>
      <x:c r="H116" s="28" t="n">
        <x:v>1</x:v>
      </x:c>
      <x:c r="I116" s="29" t="n">
        <x:v>0.4</x:v>
      </x:c>
      <x:c r="J116" s="26" t="n">
        <x:v>0</x:v>
      </x:c>
      <x:c r="K116" s="26" t="n">
        <x:v>0</x:v>
      </x:c>
      <x:c r="L116" s="22" t="str">
        <x:v>瓶颈优先贪心</x:v>
      </x:c>
    </x:row>
    <x:row r="117" ht="20" customHeight="1">
      <x:c r="A117" s="22" t="str">
        <x:v>2025-03-07</x:v>
      </x:c>
      <x:c r="B117" s="22" t="str">
        <x:v>早班</x:v>
      </x:c>
      <x:c r="C117" s="22" t="str">
        <x:v>L01</x:v>
      </x:c>
      <x:c r="D117" s="22" t="str">
        <x:v>P0022</x:v>
      </x:c>
      <x:c r="E117" s="22" t="str">
        <x:v>Q11</x:v>
      </x:c>
      <x:c r="F117" s="27" t="n">
        <x:v>18000</x:v>
      </x:c>
      <x:c r="G117" s="27" t="n">
        <x:v>18000</x:v>
      </x:c>
      <x:c r="H117" s="28" t="n">
        <x:v>1</x:v>
      </x:c>
      <x:c r="I117" s="29" t="n">
        <x:v>0.925811</x:v>
      </x:c>
      <x:c r="J117" s="26" t="n">
        <x:v>0</x:v>
      </x:c>
      <x:c r="K117" s="26" t="n">
        <x:v>0</x:v>
      </x:c>
      <x:c r="L117" s="22" t="str">
        <x:v>瓶颈优先贪心</x:v>
      </x:c>
    </x:row>
    <x:row r="118" ht="20" customHeight="1">
      <x:c r="A118" s="22" t="str">
        <x:v>2025-03-07</x:v>
      </x:c>
      <x:c r="B118" s="22" t="str">
        <x:v>早班</x:v>
      </x:c>
      <x:c r="C118" s="22" t="str">
        <x:v>L02</x:v>
      </x:c>
      <x:c r="D118" s="22" t="str">
        <x:v>P0025</x:v>
      </x:c>
      <x:c r="E118" s="22" t="str">
        <x:v>Q03</x:v>
      </x:c>
      <x:c r="F118" s="27" t="n">
        <x:v>27073</x:v>
      </x:c>
      <x:c r="G118" s="27" t="n">
        <x:v>27073</x:v>
      </x:c>
      <x:c r="H118" s="28" t="n">
        <x:v>1</x:v>
      </x:c>
      <x:c r="I118" s="29" t="n">
        <x:v>0.6</x:v>
      </x:c>
      <x:c r="J118" s="26" t="n">
        <x:v>0</x:v>
      </x:c>
      <x:c r="K118" s="26" t="n">
        <x:v>0</x:v>
      </x:c>
      <x:c r="L118" s="22" t="str">
        <x:v>瓶颈优先贪心</x:v>
      </x:c>
    </x:row>
    <x:row r="119" ht="20" customHeight="1">
      <x:c r="A119" s="22" t="str">
        <x:v>2025-03-07</x:v>
      </x:c>
      <x:c r="B119" s="22" t="str">
        <x:v>早班</x:v>
      </x:c>
      <x:c r="C119" s="22" t="str">
        <x:v>L03</x:v>
      </x:c>
      <x:c r="D119" s="22" t="str">
        <x:v>P0159</x:v>
      </x:c>
      <x:c r="E119" s="22" t="str">
        <x:v>Q03</x:v>
      </x:c>
      <x:c r="F119" s="27" t="n">
        <x:v>37992</x:v>
      </x:c>
      <x:c r="G119" s="27" t="n">
        <x:v>37992</x:v>
      </x:c>
      <x:c r="H119" s="28" t="n">
        <x:v>1</x:v>
      </x:c>
      <x:c r="I119" s="29" t="n">
        <x:v>1</x:v>
      </x:c>
      <x:c r="J119" s="26" t="n">
        <x:v>0</x:v>
      </x:c>
      <x:c r="K119" s="26" t="n">
        <x:v>0</x:v>
      </x:c>
      <x:c r="L119" s="22" t="str">
        <x:v>瓶颈优先贪心</x:v>
      </x:c>
    </x:row>
    <x:row r="120" ht="20" customHeight="1">
      <x:c r="A120" s="22" t="str">
        <x:v>2025-03-07</x:v>
      </x:c>
      <x:c r="B120" s="22" t="str">
        <x:v>早班</x:v>
      </x:c>
      <x:c r="C120" s="22" t="str">
        <x:v>L04</x:v>
      </x:c>
      <x:c r="D120" s="22" t="str">
        <x:v>P0022</x:v>
      </x:c>
      <x:c r="E120" s="22" t="str">
        <x:v>Q11</x:v>
      </x:c>
      <x:c r="F120" s="27" t="n">
        <x:v>18000</x:v>
      </x:c>
      <x:c r="G120" s="27" t="n">
        <x:v>18000</x:v>
      </x:c>
      <x:c r="H120" s="28" t="n">
        <x:v>1</x:v>
      </x:c>
      <x:c r="I120" s="29" t="n">
        <x:v>0.727267</x:v>
      </x:c>
      <x:c r="J120" s="26" t="n">
        <x:v>1</x:v>
      </x:c>
      <x:c r="K120" s="26" t="n">
        <x:v>1</x:v>
      </x:c>
      <x:c r="L120" s="22" t="str">
        <x:v>瓶颈优先贪心</x:v>
      </x:c>
    </x:row>
    <x:row r="121" ht="20" customHeight="1">
      <x:c r="A121" s="22" t="str">
        <x:v>2025-03-07</x:v>
      </x:c>
      <x:c r="B121" s="22" t="str">
        <x:v>早班</x:v>
      </x:c>
      <x:c r="C121" s="22" t="str">
        <x:v>L05</x:v>
      </x:c>
      <x:c r="D121" s="22" t="str"/>
      <x:c r="E121" s="22" t="str"/>
      <x:c r="F121" s="27" t="n">
        <x:v>0</x:v>
      </x:c>
      <x:c r="G121" s="27" t="n">
        <x:v>0</x:v>
      </x:c>
      <x:c r="H121" s="28" t="n">
        <x:v>0</x:v>
      </x:c>
      <x:c r="I121" s="29" t="n">
        <x:v>0</x:v>
      </x:c>
      <x:c r="J121" s="26" t="n">
        <x:v>0</x:v>
      </x:c>
      <x:c r="K121" s="26" t="n">
        <x:v>0</x:v>
      </x:c>
      <x:c r="L121" s="22" t="str">
        <x:v>瓶颈优先贪心</x:v>
      </x:c>
    </x:row>
    <x:row r="122" ht="20" customHeight="1">
      <x:c r="A122" s="22" t="str">
        <x:v>2025-03-07</x:v>
      </x:c>
      <x:c r="B122" s="22" t="str">
        <x:v>早班</x:v>
      </x:c>
      <x:c r="C122" s="22" t="str">
        <x:v>L06</x:v>
      </x:c>
      <x:c r="D122" s="22" t="str">
        <x:v>P0013</x:v>
      </x:c>
      <x:c r="E122" s="22" t="str">
        <x:v>Q03</x:v>
      </x:c>
      <x:c r="F122" s="27" t="n">
        <x:v>34000</x:v>
      </x:c>
      <x:c r="G122" s="27" t="n">
        <x:v>34000</x:v>
      </x:c>
      <x:c r="H122" s="28" t="n">
        <x:v>1</x:v>
      </x:c>
      <x:c r="I122" s="29" t="n">
        <x:v>0.884614</x:v>
      </x:c>
      <x:c r="J122" s="26" t="n">
        <x:v>0</x:v>
      </x:c>
      <x:c r="K122" s="26" t="n">
        <x:v>0</x:v>
      </x:c>
      <x:c r="L122" s="22" t="str">
        <x:v>瓶颈优先贪心</x:v>
      </x:c>
    </x:row>
    <x:row r="123" ht="20" customHeight="1">
      <x:c r="A123" s="22" t="str">
        <x:v>2025-03-07</x:v>
      </x:c>
      <x:c r="B123" s="22" t="str">
        <x:v>早班</x:v>
      </x:c>
      <x:c r="C123" s="22" t="str">
        <x:v>L07</x:v>
      </x:c>
      <x:c r="D123" s="22" t="str">
        <x:v>P0163</x:v>
      </x:c>
      <x:c r="E123" s="22" t="str">
        <x:v>Q06</x:v>
      </x:c>
      <x:c r="F123" s="27" t="n">
        <x:v>21500</x:v>
      </x:c>
      <x:c r="G123" s="27" t="n">
        <x:v>21500</x:v>
      </x:c>
      <x:c r="H123" s="28" t="n">
        <x:v>1</x:v>
      </x:c>
      <x:c r="I123" s="29" t="n">
        <x:v>0.6</x:v>
      </x:c>
      <x:c r="J123" s="26" t="n">
        <x:v>0</x:v>
      </x:c>
      <x:c r="K123" s="26" t="n">
        <x:v>0</x:v>
      </x:c>
      <x:c r="L123" s="22" t="str">
        <x:v>瓶颈优先贪心</x:v>
      </x:c>
    </x:row>
    <x:row r="124" ht="20" customHeight="1">
      <x:c r="A124" s="22" t="str">
        <x:v>2025-03-07</x:v>
      </x:c>
      <x:c r="B124" s="22" t="str">
        <x:v>早班</x:v>
      </x:c>
      <x:c r="C124" s="22" t="str">
        <x:v>L08</x:v>
      </x:c>
      <x:c r="D124" s="22" t="str">
        <x:v>P0004</x:v>
      </x:c>
      <x:c r="E124" s="22" t="str">
        <x:v>Q02</x:v>
      </x:c>
      <x:c r="F124" s="27" t="n">
        <x:v>35000</x:v>
      </x:c>
      <x:c r="G124" s="27" t="n">
        <x:v>35000</x:v>
      </x:c>
      <x:c r="H124" s="28" t="n">
        <x:v>1</x:v>
      </x:c>
      <x:c r="I124" s="29" t="n">
        <x:v>1</x:v>
      </x:c>
      <x:c r="J124" s="26" t="n">
        <x:v>0</x:v>
      </x:c>
      <x:c r="K124" s="26" t="n">
        <x:v>0</x:v>
      </x:c>
      <x:c r="L124" s="22" t="str">
        <x:v>瓶颈优先贪心</x:v>
      </x:c>
    </x:row>
    <x:row r="125" ht="20" customHeight="1">
      <x:c r="A125" s="22" t="str">
        <x:v>2025-03-07</x:v>
      </x:c>
      <x:c r="B125" s="22" t="str">
        <x:v>早班</x:v>
      </x:c>
      <x:c r="C125" s="22" t="str">
        <x:v>L09</x:v>
      </x:c>
      <x:c r="D125" s="22" t="str">
        <x:v>P0016</x:v>
      </x:c>
      <x:c r="E125" s="22" t="str">
        <x:v>Q03</x:v>
      </x:c>
      <x:c r="F125" s="27" t="n">
        <x:v>1056</x:v>
      </x:c>
      <x:c r="G125" s="27" t="n">
        <x:v>1056</x:v>
      </x:c>
      <x:c r="H125" s="28" t="n">
        <x:v>1</x:v>
      </x:c>
      <x:c r="I125" s="29" t="n">
        <x:v>1</x:v>
      </x:c>
      <x:c r="J125" s="26" t="n">
        <x:v>0</x:v>
      </x:c>
      <x:c r="K125" s="26" t="n">
        <x:v>0</x:v>
      </x:c>
      <x:c r="L125" s="22" t="str">
        <x:v>瓶颈优先贪心</x:v>
      </x:c>
    </x:row>
    <x:row r="126" ht="20" customHeight="1">
      <x:c r="A126" s="22" t="str">
        <x:v>2025-03-07</x:v>
      </x:c>
      <x:c r="B126" s="22" t="str">
        <x:v>早班</x:v>
      </x:c>
      <x:c r="C126" s="22" t="str">
        <x:v>L10</x:v>
      </x:c>
      <x:c r="D126" s="22" t="str">
        <x:v>P0014</x:v>
      </x:c>
      <x:c r="E126" s="22" t="str">
        <x:v>Q03</x:v>
      </x:c>
      <x:c r="F126" s="27" t="n">
        <x:v>110000</x:v>
      </x:c>
      <x:c r="G126" s="27" t="n">
        <x:v>110000</x:v>
      </x:c>
      <x:c r="H126" s="28" t="n">
        <x:v>1</x:v>
      </x:c>
      <x:c r="I126" s="29" t="n">
        <x:v>0.877029</x:v>
      </x:c>
      <x:c r="J126" s="26" t="n">
        <x:v>0</x:v>
      </x:c>
      <x:c r="K126" s="26" t="n">
        <x:v>0</x:v>
      </x:c>
      <x:c r="L126" s="22" t="str">
        <x:v>瓶颈优先贪心</x:v>
      </x:c>
    </x:row>
    <x:row r="127" ht="20" customHeight="1">
      <x:c r="A127" s="22" t="str">
        <x:v>2025-03-07</x:v>
      </x:c>
      <x:c r="B127" s="22" t="str">
        <x:v>早班</x:v>
      </x:c>
      <x:c r="C127" s="22" t="str">
        <x:v>L11</x:v>
      </x:c>
      <x:c r="D127" s="22" t="str">
        <x:v>P0013</x:v>
      </x:c>
      <x:c r="E127" s="22" t="str">
        <x:v>Q03</x:v>
      </x:c>
      <x:c r="F127" s="27" t="n">
        <x:v>35000</x:v>
      </x:c>
      <x:c r="G127" s="27" t="n">
        <x:v>35000</x:v>
      </x:c>
      <x:c r="H127" s="28" t="n">
        <x:v>1</x:v>
      </x:c>
      <x:c r="I127" s="29" t="n">
        <x:v>0.999071</x:v>
      </x:c>
      <x:c r="J127" s="26" t="n">
        <x:v>0</x:v>
      </x:c>
      <x:c r="K127" s="26" t="n">
        <x:v>0</x:v>
      </x:c>
      <x:c r="L127" s="22" t="str">
        <x:v>瓶颈优先贪心</x:v>
      </x:c>
    </x:row>
    <x:row r="128" ht="20" customHeight="1">
      <x:c r="A128" s="22" t="str">
        <x:v>2025-03-07</x:v>
      </x:c>
      <x:c r="B128" s="22" t="str">
        <x:v>早班</x:v>
      </x:c>
      <x:c r="C128" s="22" t="str">
        <x:v>L12</x:v>
      </x:c>
      <x:c r="D128" s="22" t="str">
        <x:v>P0013</x:v>
      </x:c>
      <x:c r="E128" s="22" t="str">
        <x:v>Q03</x:v>
      </x:c>
      <x:c r="F128" s="27" t="n">
        <x:v>35000</x:v>
      </x:c>
      <x:c r="G128" s="27" t="n">
        <x:v>35000</x:v>
      </x:c>
      <x:c r="H128" s="28" t="n">
        <x:v>1</x:v>
      </x:c>
      <x:c r="I128" s="29" t="n">
        <x:v>0.695541</x:v>
      </x:c>
      <x:c r="J128" s="26" t="n">
        <x:v>0</x:v>
      </x:c>
      <x:c r="K128" s="26" t="n">
        <x:v>0</x:v>
      </x:c>
      <x:c r="L128" s="22" t="str">
        <x:v>瓶颈优先贪心</x:v>
      </x:c>
    </x:row>
    <x:row r="129" ht="20" customHeight="1">
      <x:c r="A129" s="22" t="str">
        <x:v>2025-03-07</x:v>
      </x:c>
      <x:c r="B129" s="22" t="str">
        <x:v>早班</x:v>
      </x:c>
      <x:c r="C129" s="22" t="str">
        <x:v>L13</x:v>
      </x:c>
      <x:c r="D129" s="22" t="str">
        <x:v>P0059</x:v>
      </x:c>
      <x:c r="E129" s="22" t="str">
        <x:v>Q08</x:v>
      </x:c>
      <x:c r="F129" s="27" t="n">
        <x:v>13500</x:v>
      </x:c>
      <x:c r="G129" s="27" t="n">
        <x:v>13500</x:v>
      </x:c>
      <x:c r="H129" s="28" t="n">
        <x:v>1</x:v>
      </x:c>
      <x:c r="I129" s="29" t="n">
        <x:v>0.8</x:v>
      </x:c>
      <x:c r="J129" s="26" t="n">
        <x:v>0</x:v>
      </x:c>
      <x:c r="K129" s="26" t="n">
        <x:v>0</x:v>
      </x:c>
      <x:c r="L129" s="22" t="str">
        <x:v>瓶颈优先贪心</x:v>
      </x:c>
    </x:row>
    <x:row r="130" ht="20" customHeight="1">
      <x:c r="A130" s="22" t="str">
        <x:v>2025-03-07</x:v>
      </x:c>
      <x:c r="B130" s="22" t="str">
        <x:v>早班</x:v>
      </x:c>
      <x:c r="C130" s="22" t="str">
        <x:v>L14</x:v>
      </x:c>
      <x:c r="D130" s="22" t="str">
        <x:v>P0059</x:v>
      </x:c>
      <x:c r="E130" s="22" t="str">
        <x:v>Q08</x:v>
      </x:c>
      <x:c r="F130" s="27" t="n">
        <x:v>13000</x:v>
      </x:c>
      <x:c r="G130" s="27" t="n">
        <x:v>13000</x:v>
      </x:c>
      <x:c r="H130" s="28" t="n">
        <x:v>1</x:v>
      </x:c>
      <x:c r="I130" s="29" t="n">
        <x:v>0.4</x:v>
      </x:c>
      <x:c r="J130" s="26" t="n">
        <x:v>0</x:v>
      </x:c>
      <x:c r="K130" s="26" t="n">
        <x:v>0</x:v>
      </x:c>
      <x:c r="L130" s="22" t="str">
        <x:v>瓶颈优先贪心</x:v>
      </x:c>
    </x:row>
    <x:row r="131" ht="20" customHeight="1">
      <x:c r="A131" s="22" t="str">
        <x:v>2025-03-07</x:v>
      </x:c>
      <x:c r="B131" s="22" t="str">
        <x:v>中班</x:v>
      </x:c>
      <x:c r="C131" s="22" t="str">
        <x:v>L01</x:v>
      </x:c>
      <x:c r="D131" s="22" t="str">
        <x:v>P0022</x:v>
      </x:c>
      <x:c r="E131" s="22" t="str">
        <x:v>Q11</x:v>
      </x:c>
      <x:c r="F131" s="27" t="n">
        <x:v>18000</x:v>
      </x:c>
      <x:c r="G131" s="27" t="n">
        <x:v>18000</x:v>
      </x:c>
      <x:c r="H131" s="28" t="n">
        <x:v>1</x:v>
      </x:c>
      <x:c r="I131" s="29" t="n">
        <x:v>0.925811</x:v>
      </x:c>
      <x:c r="J131" s="26" t="n">
        <x:v>0</x:v>
      </x:c>
      <x:c r="K131" s="26" t="n">
        <x:v>0</x:v>
      </x:c>
      <x:c r="L131" s="22" t="str">
        <x:v>瓶颈优先贪心</x:v>
      </x:c>
    </x:row>
    <x:row r="132" ht="20" customHeight="1">
      <x:c r="A132" s="22" t="str">
        <x:v>2025-03-07</x:v>
      </x:c>
      <x:c r="B132" s="22" t="str">
        <x:v>中班</x:v>
      </x:c>
      <x:c r="C132" s="22" t="str">
        <x:v>L02</x:v>
      </x:c>
      <x:c r="D132" s="22" t="str">
        <x:v>P0025</x:v>
      </x:c>
      <x:c r="E132" s="22" t="str">
        <x:v>Q03</x:v>
      </x:c>
      <x:c r="F132" s="27" t="n">
        <x:v>27073</x:v>
      </x:c>
      <x:c r="G132" s="27" t="n">
        <x:v>27073</x:v>
      </x:c>
      <x:c r="H132" s="28" t="n">
        <x:v>1</x:v>
      </x:c>
      <x:c r="I132" s="29" t="n">
        <x:v>0.6</x:v>
      </x:c>
      <x:c r="J132" s="26" t="n">
        <x:v>0</x:v>
      </x:c>
      <x:c r="K132" s="26" t="n">
        <x:v>0</x:v>
      </x:c>
      <x:c r="L132" s="22" t="str">
        <x:v>瓶颈优先贪心</x:v>
      </x:c>
    </x:row>
    <x:row r="133" ht="20" customHeight="1">
      <x:c r="A133" s="22" t="str">
        <x:v>2025-03-07</x:v>
      </x:c>
      <x:c r="B133" s="22" t="str">
        <x:v>中班</x:v>
      </x:c>
      <x:c r="C133" s="22" t="str">
        <x:v>L03</x:v>
      </x:c>
      <x:c r="D133" s="22" t="str">
        <x:v>P0159</x:v>
      </x:c>
      <x:c r="E133" s="22" t="str">
        <x:v>Q03</x:v>
      </x:c>
      <x:c r="F133" s="27" t="n">
        <x:v>37992</x:v>
      </x:c>
      <x:c r="G133" s="27" t="n">
        <x:v>37992</x:v>
      </x:c>
      <x:c r="H133" s="28" t="n">
        <x:v>1</x:v>
      </x:c>
      <x:c r="I133" s="29" t="n">
        <x:v>1</x:v>
      </x:c>
      <x:c r="J133" s="26" t="n">
        <x:v>0</x:v>
      </x:c>
      <x:c r="K133" s="26" t="n">
        <x:v>0</x:v>
      </x:c>
      <x:c r="L133" s="22" t="str">
        <x:v>瓶颈优先贪心</x:v>
      </x:c>
    </x:row>
    <x:row r="134" ht="20" customHeight="1">
      <x:c r="A134" s="22" t="str">
        <x:v>2025-03-07</x:v>
      </x:c>
      <x:c r="B134" s="22" t="str">
        <x:v>中班</x:v>
      </x:c>
      <x:c r="C134" s="22" t="str">
        <x:v>L04</x:v>
      </x:c>
      <x:c r="D134" s="22" t="str">
        <x:v>P0022</x:v>
      </x:c>
      <x:c r="E134" s="22" t="str">
        <x:v>Q11</x:v>
      </x:c>
      <x:c r="F134" s="27" t="n">
        <x:v>18000</x:v>
      </x:c>
      <x:c r="G134" s="27" t="n">
        <x:v>18000</x:v>
      </x:c>
      <x:c r="H134" s="28" t="n">
        <x:v>1</x:v>
      </x:c>
      <x:c r="I134" s="29" t="n">
        <x:v>0.727267</x:v>
      </x:c>
      <x:c r="J134" s="26" t="n">
        <x:v>0</x:v>
      </x:c>
      <x:c r="K134" s="26" t="n">
        <x:v>0</x:v>
      </x:c>
      <x:c r="L134" s="22" t="str">
        <x:v>瓶颈优先贪心</x:v>
      </x:c>
    </x:row>
    <x:row r="135" ht="20" customHeight="1">
      <x:c r="A135" s="22" t="str">
        <x:v>2025-03-07</x:v>
      </x:c>
      <x:c r="B135" s="22" t="str">
        <x:v>中班</x:v>
      </x:c>
      <x:c r="C135" s="22" t="str">
        <x:v>L05</x:v>
      </x:c>
      <x:c r="D135" s="22" t="str"/>
      <x:c r="E135" s="22" t="str"/>
      <x:c r="F135" s="27" t="n">
        <x:v>0</x:v>
      </x:c>
      <x:c r="G135" s="27" t="n">
        <x:v>0</x:v>
      </x:c>
      <x:c r="H135" s="28" t="n">
        <x:v>0</x:v>
      </x:c>
      <x:c r="I135" s="29" t="n">
        <x:v>0</x:v>
      </x:c>
      <x:c r="J135" s="26" t="n">
        <x:v>0</x:v>
      </x:c>
      <x:c r="K135" s="26" t="n">
        <x:v>0</x:v>
      </x:c>
      <x:c r="L135" s="22" t="str">
        <x:v>瓶颈优先贪心</x:v>
      </x:c>
    </x:row>
    <x:row r="136" ht="20" customHeight="1">
      <x:c r="A136" s="22" t="str">
        <x:v>2025-03-07</x:v>
      </x:c>
      <x:c r="B136" s="22" t="str">
        <x:v>中班</x:v>
      </x:c>
      <x:c r="C136" s="22" t="str">
        <x:v>L06</x:v>
      </x:c>
      <x:c r="D136" s="22" t="str">
        <x:v>P0013</x:v>
      </x:c>
      <x:c r="E136" s="22" t="str">
        <x:v>Q03</x:v>
      </x:c>
      <x:c r="F136" s="27" t="n">
        <x:v>34000</x:v>
      </x:c>
      <x:c r="G136" s="27" t="n">
        <x:v>34000</x:v>
      </x:c>
      <x:c r="H136" s="28" t="n">
        <x:v>1</x:v>
      </x:c>
      <x:c r="I136" s="29" t="n">
        <x:v>0.884614</x:v>
      </x:c>
      <x:c r="J136" s="26" t="n">
        <x:v>0</x:v>
      </x:c>
      <x:c r="K136" s="26" t="n">
        <x:v>0</x:v>
      </x:c>
      <x:c r="L136" s="22" t="str">
        <x:v>瓶颈优先贪心</x:v>
      </x:c>
    </x:row>
    <x:row r="137" ht="20" customHeight="1">
      <x:c r="A137" s="22" t="str">
        <x:v>2025-03-07</x:v>
      </x:c>
      <x:c r="B137" s="22" t="str">
        <x:v>中班</x:v>
      </x:c>
      <x:c r="C137" s="22" t="str">
        <x:v>L07</x:v>
      </x:c>
      <x:c r="D137" s="22" t="str">
        <x:v>P0163</x:v>
      </x:c>
      <x:c r="E137" s="22" t="str">
        <x:v>Q06</x:v>
      </x:c>
      <x:c r="F137" s="27" t="n">
        <x:v>21500</x:v>
      </x:c>
      <x:c r="G137" s="27" t="n">
        <x:v>21500</x:v>
      </x:c>
      <x:c r="H137" s="28" t="n">
        <x:v>1</x:v>
      </x:c>
      <x:c r="I137" s="29" t="n">
        <x:v>0.6</x:v>
      </x:c>
      <x:c r="J137" s="26" t="n">
        <x:v>0</x:v>
      </x:c>
      <x:c r="K137" s="26" t="n">
        <x:v>0</x:v>
      </x:c>
      <x:c r="L137" s="22" t="str">
        <x:v>瓶颈优先贪心</x:v>
      </x:c>
    </x:row>
    <x:row r="138" ht="20" customHeight="1">
      <x:c r="A138" s="22" t="str">
        <x:v>2025-03-07</x:v>
      </x:c>
      <x:c r="B138" s="22" t="str">
        <x:v>中班</x:v>
      </x:c>
      <x:c r="C138" s="22" t="str">
        <x:v>L08</x:v>
      </x:c>
      <x:c r="D138" s="22" t="str">
        <x:v>P0014</x:v>
      </x:c>
      <x:c r="E138" s="22" t="str">
        <x:v>Q03</x:v>
      </x:c>
      <x:c r="F138" s="27" t="n">
        <x:v>35000</x:v>
      </x:c>
      <x:c r="G138" s="27" t="n">
        <x:v>35000</x:v>
      </x:c>
      <x:c r="H138" s="28" t="n">
        <x:v>1</x:v>
      </x:c>
      <x:c r="I138" s="29" t="n">
        <x:v>0.372095</x:v>
      </x:c>
      <x:c r="J138" s="26" t="n">
        <x:v>1</x:v>
      </x:c>
      <x:c r="K138" s="26" t="n">
        <x:v>1</x:v>
      </x:c>
      <x:c r="L138" s="22" t="str">
        <x:v>瓶颈优先贪心</x:v>
      </x:c>
    </x:row>
    <x:row r="139" ht="20" customHeight="1">
      <x:c r="A139" s="22" t="str">
        <x:v>2025-03-07</x:v>
      </x:c>
      <x:c r="B139" s="22" t="str">
        <x:v>中班</x:v>
      </x:c>
      <x:c r="C139" s="22" t="str">
        <x:v>L09</x:v>
      </x:c>
      <x:c r="D139" s="22" t="str">
        <x:v>P0016</x:v>
      </x:c>
      <x:c r="E139" s="22" t="str">
        <x:v>Q03</x:v>
      </x:c>
      <x:c r="F139" s="27" t="n">
        <x:v>1056</x:v>
      </x:c>
      <x:c r="G139" s="27" t="n">
        <x:v>1056</x:v>
      </x:c>
      <x:c r="H139" s="28" t="n">
        <x:v>1</x:v>
      </x:c>
      <x:c r="I139" s="29" t="n">
        <x:v>1</x:v>
      </x:c>
      <x:c r="J139" s="26" t="n">
        <x:v>0</x:v>
      </x:c>
      <x:c r="K139" s="26" t="n">
        <x:v>0</x:v>
      </x:c>
      <x:c r="L139" s="22" t="str">
        <x:v>瓶颈优先贪心</x:v>
      </x:c>
    </x:row>
    <x:row r="140" ht="20" customHeight="1">
      <x:c r="A140" s="22" t="str">
        <x:v>2025-03-07</x:v>
      </x:c>
      <x:c r="B140" s="22" t="str">
        <x:v>中班</x:v>
      </x:c>
      <x:c r="C140" s="22" t="str">
        <x:v>L10</x:v>
      </x:c>
      <x:c r="D140" s="22" t="str">
        <x:v>P0014</x:v>
      </x:c>
      <x:c r="E140" s="22" t="str">
        <x:v>Q03</x:v>
      </x:c>
      <x:c r="F140" s="27" t="n">
        <x:v>110000</x:v>
      </x:c>
      <x:c r="G140" s="27" t="n">
        <x:v>110000</x:v>
      </x:c>
      <x:c r="H140" s="28" t="n">
        <x:v>1</x:v>
      </x:c>
      <x:c r="I140" s="29" t="n">
        <x:v>0.877029</x:v>
      </x:c>
      <x:c r="J140" s="26" t="n">
        <x:v>0</x:v>
      </x:c>
      <x:c r="K140" s="26" t="n">
        <x:v>0</x:v>
      </x:c>
      <x:c r="L140" s="22" t="str">
        <x:v>瓶颈优先贪心</x:v>
      </x:c>
    </x:row>
    <x:row r="141" ht="20" customHeight="1">
      <x:c r="A141" s="22" t="str">
        <x:v>2025-03-07</x:v>
      </x:c>
      <x:c r="B141" s="22" t="str">
        <x:v>中班</x:v>
      </x:c>
      <x:c r="C141" s="22" t="str">
        <x:v>L11</x:v>
      </x:c>
      <x:c r="D141" s="22" t="str">
        <x:v>P0013</x:v>
      </x:c>
      <x:c r="E141" s="22" t="str">
        <x:v>Q03</x:v>
      </x:c>
      <x:c r="F141" s="27" t="n">
        <x:v>35000</x:v>
      </x:c>
      <x:c r="G141" s="27" t="n">
        <x:v>35000</x:v>
      </x:c>
      <x:c r="H141" s="28" t="n">
        <x:v>1</x:v>
      </x:c>
      <x:c r="I141" s="29" t="n">
        <x:v>0.999071</x:v>
      </x:c>
      <x:c r="J141" s="26" t="n">
        <x:v>0</x:v>
      </x:c>
      <x:c r="K141" s="26" t="n">
        <x:v>0</x:v>
      </x:c>
      <x:c r="L141" s="22" t="str">
        <x:v>瓶颈优先贪心</x:v>
      </x:c>
    </x:row>
    <x:row r="142" ht="20" customHeight="1">
      <x:c r="A142" s="22" t="str">
        <x:v>2025-03-07</x:v>
      </x:c>
      <x:c r="B142" s="22" t="str">
        <x:v>中班</x:v>
      </x:c>
      <x:c r="C142" s="22" t="str">
        <x:v>L12</x:v>
      </x:c>
      <x:c r="D142" s="22" t="str">
        <x:v>P0013</x:v>
      </x:c>
      <x:c r="E142" s="22" t="str">
        <x:v>Q03</x:v>
      </x:c>
      <x:c r="F142" s="27" t="n">
        <x:v>35000</x:v>
      </x:c>
      <x:c r="G142" s="27" t="n">
        <x:v>35000</x:v>
      </x:c>
      <x:c r="H142" s="28" t="n">
        <x:v>1</x:v>
      </x:c>
      <x:c r="I142" s="29" t="n">
        <x:v>0.695541</x:v>
      </x:c>
      <x:c r="J142" s="26" t="n">
        <x:v>0</x:v>
      </x:c>
      <x:c r="K142" s="26" t="n">
        <x:v>0</x:v>
      </x:c>
      <x:c r="L142" s="22" t="str">
        <x:v>瓶颈优先贪心</x:v>
      </x:c>
    </x:row>
    <x:row r="143" ht="20" customHeight="1">
      <x:c r="A143" s="22" t="str">
        <x:v>2025-03-07</x:v>
      </x:c>
      <x:c r="B143" s="22" t="str">
        <x:v>中班</x:v>
      </x:c>
      <x:c r="C143" s="22" t="str">
        <x:v>L13</x:v>
      </x:c>
      <x:c r="D143" s="22" t="str">
        <x:v>P0059</x:v>
      </x:c>
      <x:c r="E143" s="22" t="str">
        <x:v>Q08</x:v>
      </x:c>
      <x:c r="F143" s="27" t="n">
        <x:v>13500</x:v>
      </x:c>
      <x:c r="G143" s="27" t="n">
        <x:v>13500</x:v>
      </x:c>
      <x:c r="H143" s="28" t="n">
        <x:v>1</x:v>
      </x:c>
      <x:c r="I143" s="29" t="n">
        <x:v>0.8</x:v>
      </x:c>
      <x:c r="J143" s="26" t="n">
        <x:v>0</x:v>
      </x:c>
      <x:c r="K143" s="26" t="n">
        <x:v>0</x:v>
      </x:c>
      <x:c r="L143" s="22" t="str">
        <x:v>瓶颈优先贪心</x:v>
      </x:c>
    </x:row>
    <x:row r="144" ht="20" customHeight="1">
      <x:c r="A144" s="22" t="str">
        <x:v>2025-03-07</x:v>
      </x:c>
      <x:c r="B144" s="22" t="str">
        <x:v>中班</x:v>
      </x:c>
      <x:c r="C144" s="22" t="str">
        <x:v>L14</x:v>
      </x:c>
      <x:c r="D144" s="22" t="str">
        <x:v>P0059</x:v>
      </x:c>
      <x:c r="E144" s="22" t="str">
        <x:v>Q08</x:v>
      </x:c>
      <x:c r="F144" s="27" t="n">
        <x:v>13000</x:v>
      </x:c>
      <x:c r="G144" s="27" t="n">
        <x:v>13000</x:v>
      </x:c>
      <x:c r="H144" s="28" t="n">
        <x:v>1</x:v>
      </x:c>
      <x:c r="I144" s="29" t="n">
        <x:v>0.4</x:v>
      </x:c>
      <x:c r="J144" s="26" t="n">
        <x:v>0</x:v>
      </x:c>
      <x:c r="K144" s="26" t="n">
        <x:v>0</x:v>
      </x:c>
      <x:c r="L144" s="22" t="str">
        <x:v>瓶颈优先贪心</x:v>
      </x:c>
    </x:row>
  </x:sheetData>
  <x:mergeCells>
    <x:mergeCell ref="A1:L1"/>
    <x:mergeCell ref="A2:L2"/>
  </x:mergeCells>
  <x:conditionalFormatting sqref="J5:K144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28bd88320044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0" customHeight="1">
      <x:c r="A1" s="4" t="str">
        <x:v>基线方案｜产品需求完成情况</x:v>
      </x:c>
      <x:c r="B1" s="4" t="str">
        <x:v>基线方案｜产品需求完成情况</x:v>
      </x:c>
      <x:c r="C1" s="4" t="str">
        <x:v>基线方案｜产品需求完成情况</x:v>
      </x:c>
      <x:c r="D1" s="4" t="str">
        <x:v>基线方案｜产品需求完成情况</x:v>
      </x:c>
      <x:c r="E1" s="4" t="str">
        <x:v>基线方案｜产品需求完成情况</x:v>
      </x:c>
      <x:c r="F1" s="4" t="str">
        <x:v>基线方案｜产品需求完成情况</x:v>
      </x:c>
    </x:row>
    <x:row r="2" ht="22" customHeight="1">
      <x:c r="A2" s="8" t="str">
        <x:v>需求、排产量与剩余量均按产品—酒质组合汇总</x:v>
      </x:c>
      <x:c r="B2" s="8" t="str">
        <x:v>需求、排产量与剩余量均按产品—酒质组合汇总</x:v>
      </x:c>
      <x:c r="C2" s="8" t="str">
        <x:v>需求、排产量与剩余量均按产品—酒质组合汇总</x:v>
      </x:c>
      <x:c r="D2" s="8" t="str">
        <x:v>需求、排产量与剩余量均按产品—酒质组合汇总</x:v>
      </x:c>
      <x:c r="E2" s="8" t="str">
        <x:v>需求、排产量与剩余量均按产品—酒质组合汇总</x:v>
      </x:c>
      <x:c r="F2" s="8" t="str">
        <x:v>需求、排产量与剩余量均按产品—酒质组合汇总</x:v>
      </x:c>
    </x:row>
    <x:row r="4" ht="26" customHeight="1">
      <x:c r="A4" s="14" t="str">
        <x:v>﻿产品</x:v>
      </x:c>
      <x:c r="B4" s="14" t="str">
        <x:v>酒质</x:v>
      </x:c>
      <x:c r="C4" s="14" t="str">
        <x:v>需求量</x:v>
      </x:c>
      <x:c r="D4" s="14" t="str">
        <x:v>排产量</x:v>
      </x:c>
      <x:c r="E4" s="14" t="str">
        <x:v>剩余量</x:v>
      </x:c>
      <x:c r="F4" s="14" t="str">
        <x:v>完成率</x:v>
      </x:c>
    </x:row>
    <x:row r="5" ht="20" customHeight="1">
      <x:c r="A5" s="17" t="str">
        <x:v>P0159</x:v>
      </x:c>
      <x:c r="B5" s="17" t="str">
        <x:v>Q03</x:v>
      </x:c>
      <x:c r="C5" s="27" t="n">
        <x:v>703856</x:v>
      </x:c>
      <x:c r="D5" s="27" t="n">
        <x:v>227952</x:v>
      </x:c>
      <x:c r="E5" s="27" t="n">
        <x:v>475904</x:v>
      </x:c>
      <x:c r="F5" s="28" t="n">
        <x:v>0.32386169898388306</x:v>
      </x:c>
    </x:row>
    <x:row r="6" ht="20" customHeight="1">
      <x:c r="A6" s="17" t="str">
        <x:v>P0132</x:v>
      </x:c>
      <x:c r="B6" s="17" t="str">
        <x:v>Q03</x:v>
      </x:c>
      <x:c r="C6" s="27" t="n">
        <x:v>42480</x:v>
      </x:c>
      <x:c r="D6" s="27" t="n">
        <x:v>0</x:v>
      </x:c>
      <x:c r="E6" s="27" t="n">
        <x:v>42480</x:v>
      </x:c>
      <x:c r="F6" s="28" t="n">
        <x:v>0</x:v>
      </x:c>
    </x:row>
    <x:row r="7" ht="20" customHeight="1">
      <x:c r="A7" s="17" t="str">
        <x:v>P0133</x:v>
      </x:c>
      <x:c r="B7" s="17" t="str">
        <x:v>Q03</x:v>
      </x:c>
      <x:c r="C7" s="27" t="n">
        <x:v>42480</x:v>
      </x:c>
      <x:c r="D7" s="27" t="n">
        <x:v>0</x:v>
      </x:c>
      <x:c r="E7" s="27" t="n">
        <x:v>42480</x:v>
      </x:c>
      <x:c r="F7" s="28" t="n">
        <x:v>0</x:v>
      </x:c>
    </x:row>
    <x:row r="8" ht="20" customHeight="1">
      <x:c r="A8" s="17" t="str">
        <x:v>P0134</x:v>
      </x:c>
      <x:c r="B8" s="17" t="str">
        <x:v>Q03</x:v>
      </x:c>
      <x:c r="C8" s="27" t="n">
        <x:v>42480</x:v>
      </x:c>
      <x:c r="D8" s="27" t="n">
        <x:v>0</x:v>
      </x:c>
      <x:c r="E8" s="27" t="n">
        <x:v>42480</x:v>
      </x:c>
      <x:c r="F8" s="28" t="n">
        <x:v>0</x:v>
      </x:c>
    </x:row>
    <x:row r="9" ht="20" customHeight="1">
      <x:c r="A9" s="17" t="str">
        <x:v>P0135</x:v>
      </x:c>
      <x:c r="B9" s="17" t="str">
        <x:v>Q03</x:v>
      </x:c>
      <x:c r="C9" s="27" t="n">
        <x:v>42480</x:v>
      </x:c>
      <x:c r="D9" s="27" t="n">
        <x:v>0</x:v>
      </x:c>
      <x:c r="E9" s="27" t="n">
        <x:v>42480</x:v>
      </x:c>
      <x:c r="F9" s="28" t="n">
        <x:v>0</x:v>
      </x:c>
    </x:row>
    <x:row r="10" ht="20" customHeight="1">
      <x:c r="A10" s="17" t="str">
        <x:v>P0136</x:v>
      </x:c>
      <x:c r="B10" s="17" t="str">
        <x:v>Q03</x:v>
      </x:c>
      <x:c r="C10" s="27" t="n">
        <x:v>42480</x:v>
      </x:c>
      <x:c r="D10" s="27" t="n">
        <x:v>0</x:v>
      </x:c>
      <x:c r="E10" s="27" t="n">
        <x:v>42480</x:v>
      </x:c>
      <x:c r="F10" s="28" t="n">
        <x:v>0</x:v>
      </x:c>
    </x:row>
    <x:row r="11" ht="20" customHeight="1">
      <x:c r="A11" s="17" t="str">
        <x:v>P0137</x:v>
      </x:c>
      <x:c r="B11" s="17" t="str">
        <x:v>Q03</x:v>
      </x:c>
      <x:c r="C11" s="27" t="n">
        <x:v>42480</x:v>
      </x:c>
      <x:c r="D11" s="27" t="n">
        <x:v>0</x:v>
      </x:c>
      <x:c r="E11" s="27" t="n">
        <x:v>42480</x:v>
      </x:c>
      <x:c r="F11" s="28" t="n">
        <x:v>0</x:v>
      </x:c>
    </x:row>
    <x:row r="12" ht="20" customHeight="1">
      <x:c r="A12" s="17" t="str">
        <x:v>P0138</x:v>
      </x:c>
      <x:c r="B12" s="17" t="str">
        <x:v>Q11</x:v>
      </x:c>
      <x:c r="C12" s="27" t="n">
        <x:v>15930</x:v>
      </x:c>
      <x:c r="D12" s="27" t="n">
        <x:v>0</x:v>
      </x:c>
      <x:c r="E12" s="27" t="n">
        <x:v>15930</x:v>
      </x:c>
      <x:c r="F12" s="28" t="n">
        <x:v>0</x:v>
      </x:c>
    </x:row>
    <x:row r="13" ht="20" customHeight="1">
      <x:c r="A13" s="17" t="str">
        <x:v>P0165</x:v>
      </x:c>
      <x:c r="B13" s="17" t="str">
        <x:v>Q06</x:v>
      </x:c>
      <x:c r="C13" s="27" t="n">
        <x:v>168000</x:v>
      </x:c>
      <x:c r="D13" s="27" t="n">
        <x:v>0</x:v>
      </x:c>
      <x:c r="E13" s="27" t="n">
        <x:v>168000</x:v>
      </x:c>
      <x:c r="F13" s="28" t="n">
        <x:v>0</x:v>
      </x:c>
    </x:row>
    <x:row r="14" ht="20" customHeight="1">
      <x:c r="A14" s="17" t="str">
        <x:v>P0059</x:v>
      </x:c>
      <x:c r="B14" s="17" t="str">
        <x:v>Q08</x:v>
      </x:c>
      <x:c r="C14" s="27" t="n">
        <x:v>619500</x:v>
      </x:c>
      <x:c r="D14" s="27" t="n">
        <x:v>265000</x:v>
      </x:c>
      <x:c r="E14" s="27" t="n">
        <x:v>354500</x:v>
      </x:c>
      <x:c r="F14" s="28" t="n">
        <x:v>0.42776432606941084</x:v>
      </x:c>
    </x:row>
    <x:row r="15" ht="20" customHeight="1">
      <x:c r="A15" s="17" t="str">
        <x:v>P0060</x:v>
      </x:c>
      <x:c r="B15" s="17" t="str">
        <x:v>Q09</x:v>
      </x:c>
      <x:c r="C15" s="27" t="n">
        <x:v>63720</x:v>
      </x:c>
      <x:c r="D15" s="27" t="n">
        <x:v>0</x:v>
      </x:c>
      <x:c r="E15" s="27" t="n">
        <x:v>63720</x:v>
      </x:c>
      <x:c r="F15" s="28" t="n">
        <x:v>0</x:v>
      </x:c>
    </x:row>
    <x:row r="16" ht="20" customHeight="1">
      <x:c r="A16" s="17" t="str">
        <x:v>P0061</x:v>
      </x:c>
      <x:c r="B16" s="17" t="str">
        <x:v>Q10</x:v>
      </x:c>
      <x:c r="C16" s="27" t="n">
        <x:v>21924</x:v>
      </x:c>
      <x:c r="D16" s="27" t="n">
        <x:v>0</x:v>
      </x:c>
      <x:c r="E16" s="27" t="n">
        <x:v>21924</x:v>
      </x:c>
      <x:c r="F16" s="28" t="n">
        <x:v>0</x:v>
      </x:c>
    </x:row>
    <x:row r="17" ht="20" customHeight="1">
      <x:c r="A17" s="17" t="str">
        <x:v>P0022</x:v>
      </x:c>
      <x:c r="B17" s="17" t="str">
        <x:v>Q11</x:v>
      </x:c>
      <x:c r="C17" s="27" t="n">
        <x:v>864000</x:v>
      </x:c>
      <x:c r="D17" s="27" t="n">
        <x:v>180000</x:v>
      </x:c>
      <x:c r="E17" s="27" t="n">
        <x:v>684000</x:v>
      </x:c>
      <x:c r="F17" s="28" t="n">
        <x:v>0.20833333333333334</x:v>
      </x:c>
    </x:row>
    <x:row r="18" ht="20" customHeight="1">
      <x:c r="A18" s="17" t="str">
        <x:v>P0157</x:v>
      </x:c>
      <x:c r="B18" s="17" t="str">
        <x:v>Q06</x:v>
      </x:c>
      <x:c r="C18" s="27" t="n">
        <x:v>120000</x:v>
      </x:c>
      <x:c r="D18" s="27" t="n">
        <x:v>0</x:v>
      </x:c>
      <x:c r="E18" s="27" t="n">
        <x:v>120000</x:v>
      </x:c>
      <x:c r="F18" s="28" t="n">
        <x:v>0</x:v>
      </x:c>
    </x:row>
    <x:row r="19" ht="20" customHeight="1">
      <x:c r="A19" s="17" t="str">
        <x:v>P0163</x:v>
      </x:c>
      <x:c r="B19" s="17" t="str">
        <x:v>Q06</x:v>
      </x:c>
      <x:c r="C19" s="27" t="n">
        <x:v>817000</x:v>
      </x:c>
      <x:c r="D19" s="27" t="n">
        <x:v>387000</x:v>
      </x:c>
      <x:c r="E19" s="27" t="n">
        <x:v>430000</x:v>
      </x:c>
      <x:c r="F19" s="28" t="n">
        <x:v>0.47368421052631576</x:v>
      </x:c>
    </x:row>
    <x:row r="20" ht="20" customHeight="1">
      <x:c r="A20" s="17" t="str">
        <x:v>P0064</x:v>
      </x:c>
      <x:c r="B20" s="17" t="str">
        <x:v>Q12</x:v>
      </x:c>
      <x:c r="C20" s="27" t="n">
        <x:v>148000</x:v>
      </x:c>
      <x:c r="D20" s="27" t="n">
        <x:v>0</x:v>
      </x:c>
      <x:c r="E20" s="27" t="n">
        <x:v>148000</x:v>
      </x:c>
      <x:c r="F20" s="28" t="n">
        <x:v>0</x:v>
      </x:c>
    </x:row>
    <x:row r="21" ht="20" customHeight="1">
      <x:c r="A21" s="17" t="str">
        <x:v>P0027</x:v>
      </x:c>
      <x:c r="B21" s="17" t="str">
        <x:v>Q03</x:v>
      </x:c>
      <x:c r="C21" s="27" t="n">
        <x:v>52000</x:v>
      </x:c>
      <x:c r="D21" s="27" t="n">
        <x:v>0</x:v>
      </x:c>
      <x:c r="E21" s="27" t="n">
        <x:v>52000</x:v>
      </x:c>
      <x:c r="F21" s="28" t="n">
        <x:v>0</x:v>
      </x:c>
    </x:row>
    <x:row r="22" ht="20" customHeight="1">
      <x:c r="A22" s="17" t="str">
        <x:v>P0025</x:v>
      </x:c>
      <x:c r="B22" s="17" t="str">
        <x:v>Q03</x:v>
      </x:c>
      <x:c r="C22" s="27" t="n">
        <x:v>634000</x:v>
      </x:c>
      <x:c r="D22" s="27" t="n">
        <x:v>270730</x:v>
      </x:c>
      <x:c r="E22" s="27" t="n">
        <x:v>363270</x:v>
      </x:c>
      <x:c r="F22" s="28" t="n">
        <x:v>0.42701892744479497</x:v>
      </x:c>
    </x:row>
    <x:row r="23" ht="20" customHeight="1">
      <x:c r="A23" s="17" t="str">
        <x:v>P0004</x:v>
      </x:c>
      <x:c r="B23" s="17" t="str">
        <x:v>Q02</x:v>
      </x:c>
      <x:c r="C23" s="27" t="n">
        <x:v>525000</x:v>
      </x:c>
      <x:c r="D23" s="27" t="n">
        <x:v>315000</x:v>
      </x:c>
      <x:c r="E23" s="27" t="n">
        <x:v>210000</x:v>
      </x:c>
      <x:c r="F23" s="28" t="n">
        <x:v>0.6</x:v>
      </x:c>
    </x:row>
    <x:row r="24" ht="20" customHeight="1">
      <x:c r="A24" s="17" t="str">
        <x:v>P0070</x:v>
      </x:c>
      <x:c r="B24" s="17" t="str">
        <x:v>Q03</x:v>
      </x:c>
      <x:c r="C24" s="27" t="n">
        <x:v>420000</x:v>
      </x:c>
      <x:c r="D24" s="27" t="n">
        <x:v>0</x:v>
      </x:c>
      <x:c r="E24" s="27" t="n">
        <x:v>420000</x:v>
      </x:c>
      <x:c r="F24" s="28" t="n">
        <x:v>0</x:v>
      </x:c>
    </x:row>
    <x:row r="25" ht="20" customHeight="1">
      <x:c r="A25" s="17" t="str">
        <x:v>P0011</x:v>
      </x:c>
      <x:c r="B25" s="17" t="str">
        <x:v>Q03</x:v>
      </x:c>
      <x:c r="C25" s="27" t="n">
        <x:v>234000</x:v>
      </x:c>
      <x:c r="D25" s="27" t="n">
        <x:v>0</x:v>
      </x:c>
      <x:c r="E25" s="27" t="n">
        <x:v>234000</x:v>
      </x:c>
      <x:c r="F25" s="28" t="n">
        <x:v>0</x:v>
      </x:c>
    </x:row>
    <x:row r="26" ht="20" customHeight="1">
      <x:c r="A26" s="17" t="str">
        <x:v>P0017</x:v>
      </x:c>
      <x:c r="B26" s="17" t="str">
        <x:v>Q03</x:v>
      </x:c>
      <x:c r="C26" s="27" t="n">
        <x:v>294000</x:v>
      </x:c>
      <x:c r="D26" s="27" t="n">
        <x:v>42302</x:v>
      </x:c>
      <x:c r="E26" s="27" t="n">
        <x:v>251698</x:v>
      </x:c>
      <x:c r="F26" s="28" t="n">
        <x:v>0.1438843537414966</x:v>
      </x:c>
    </x:row>
    <x:row r="27" ht="20" customHeight="1">
      <x:c r="A27" s="17" t="str">
        <x:v>P0016</x:v>
      </x:c>
      <x:c r="B27" s="17" t="str">
        <x:v>Q03</x:v>
      </x:c>
      <x:c r="C27" s="27" t="n">
        <x:v>378000</x:v>
      </x:c>
      <x:c r="D27" s="27" t="n">
        <x:v>10560</x:v>
      </x:c>
      <x:c r="E27" s="27" t="n">
        <x:v>367440</x:v>
      </x:c>
      <x:c r="F27" s="28" t="n">
        <x:v>0.027936507936507936</x:v>
      </x:c>
    </x:row>
    <x:row r="28" ht="20" customHeight="1">
      <x:c r="A28" s="17" t="str">
        <x:v>P0043</x:v>
      </x:c>
      <x:c r="B28" s="17" t="str">
        <x:v>Q04</x:v>
      </x:c>
      <x:c r="C28" s="27" t="n">
        <x:v>350000</x:v>
      </x:c>
      <x:c r="D28" s="27" t="n">
        <x:v>140000</x:v>
      </x:c>
      <x:c r="E28" s="27" t="n">
        <x:v>210000</x:v>
      </x:c>
      <x:c r="F28" s="28" t="n">
        <x:v>0.4</x:v>
      </x:c>
    </x:row>
    <x:row r="29" ht="20" customHeight="1">
      <x:c r="A29" s="17" t="str">
        <x:v>P0013</x:v>
      </x:c>
      <x:c r="B29" s="17" t="str">
        <x:v>Q03</x:v>
      </x:c>
      <x:c r="C29" s="27" t="n">
        <x:v>1260000</x:v>
      </x:c>
      <x:c r="D29" s="27" t="n">
        <x:v>312000</x:v>
      </x:c>
      <x:c r="E29" s="27" t="n">
        <x:v>948000</x:v>
      </x:c>
      <x:c r="F29" s="28" t="n">
        <x:v>0.24761904761904763</x:v>
      </x:c>
    </x:row>
    <x:row r="30" ht="20" customHeight="1">
      <x:c r="A30" s="17" t="str">
        <x:v>P0014</x:v>
      </x:c>
      <x:c r="B30" s="17" t="str">
        <x:v>Q03</x:v>
      </x:c>
      <x:c r="C30" s="27" t="n">
        <x:v>3830000</x:v>
      </x:c>
      <x:c r="D30" s="27" t="n">
        <x:v>1863000</x:v>
      </x:c>
      <x:c r="E30" s="27" t="n">
        <x:v>1967000</x:v>
      </x:c>
      <x:c r="F30" s="28" t="n">
        <x:v>0.4864229765013055</x:v>
      </x:c>
    </x:row>
    <x:row r="31" ht="20" customHeight="1">
      <x:c r="A31" s="17" t="str">
        <x:v>P0015</x:v>
      </x:c>
      <x:c r="B31" s="17" t="str">
        <x:v>Q03</x:v>
      </x:c>
      <x:c r="C31" s="27" t="n">
        <x:v>70000</x:v>
      </x:c>
      <x:c r="D31" s="27" t="n">
        <x:v>0</x:v>
      </x:c>
      <x:c r="E31" s="27" t="n">
        <x:v>70000</x:v>
      </x:c>
      <x:c r="F31" s="28" t="n">
        <x:v>0</x:v>
      </x:c>
    </x:row>
  </x:sheetData>
  <x:mergeCells>
    <x:mergeCell ref="A1:F1"/>
    <x:mergeCell ref="A2:F2"/>
  </x:mergeCells>
  <x:conditionalFormatting sqref="F5:F31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122cc63758a4f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8" hidden="0" customWidth="1"/>
    <x:col min="4" max="4" width="11" hidden="0" customWidth="1"/>
    <x:col min="5" max="5" width="8" hidden="0" customWidth="1"/>
    <x:col min="6" max="6" width="14" hidden="0" customWidth="1"/>
    <x:col min="7" max="7" width="14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7" hidden="0" customWidth="1"/>
  </x:cols>
  <x:sheetData>
    <x:row r="1" ht="30" customHeight="1">
      <x:c r="A1" s="4" t="str">
        <x:v>公平性对照｜标准化剩余率MILP排产明细</x:v>
      </x:c>
      <x:c r="B1" s="4" t="str">
        <x:v>公平性对照｜标准化剩余率MILP排产明细</x:v>
      </x:c>
      <x:c r="C1" s="4" t="str">
        <x:v>公平性对照｜标准化剩余率MILP排产明细</x:v>
      </x:c>
      <x:c r="D1" s="4" t="str">
        <x:v>公平性对照｜标准化剩余率MILP排产明细</x:v>
      </x:c>
      <x:c r="E1" s="4" t="str">
        <x:v>公平性对照｜标准化剩余率MILP排产明细</x:v>
      </x:c>
      <x:c r="F1" s="4" t="str">
        <x:v>公平性对照｜标准化剩余率MILP排产明细</x:v>
      </x:c>
      <x:c r="G1" s="4" t="str">
        <x:v>公平性对照｜标准化剩余率MILP排产明细</x:v>
      </x:c>
      <x:c r="H1" s="4" t="str">
        <x:v>公平性对照｜标准化剩余率MILP排产明细</x:v>
      </x:c>
      <x:c r="I1" s="4" t="str">
        <x:v>公平性对照｜标准化剩余率MILP排产明细</x:v>
      </x:c>
      <x:c r="J1" s="4" t="str">
        <x:v>公平性对照｜标准化剩余率MILP排产明细</x:v>
      </x:c>
      <x:c r="K1" s="4" t="str">
        <x:v>公平性对照｜标准化剩余率MILP排产明细</x:v>
      </x:c>
      <x:c r="L1" s="4" t="str">
        <x:v>公平性对照｜标准化剩余率MILP排产明细</x:v>
      </x:c>
    </x:row>
    <x:row r="2" ht="22" customHeight="1">
      <x:c r="A2" s="8" t="str">
        <x:v>2025年第13周（3月3日至3月7日），14条产线×10个班次</x:v>
      </x:c>
      <x:c r="B2" s="8" t="str">
        <x:v>2025年第13周（3月3日至3月7日），14条产线×10个班次</x:v>
      </x:c>
      <x:c r="C2" s="8" t="str">
        <x:v>2025年第13周（3月3日至3月7日），14条产线×10个班次</x:v>
      </x:c>
      <x:c r="D2" s="8" t="str">
        <x:v>2025年第13周（3月3日至3月7日），14条产线×10个班次</x:v>
      </x:c>
      <x:c r="E2" s="8" t="str">
        <x:v>2025年第13周（3月3日至3月7日），14条产线×10个班次</x:v>
      </x:c>
      <x:c r="F2" s="8" t="str">
        <x:v>2025年第13周（3月3日至3月7日），14条产线×10个班次</x:v>
      </x:c>
      <x:c r="G2" s="8" t="str">
        <x:v>2025年第13周（3月3日至3月7日），14条产线×10个班次</x:v>
      </x:c>
      <x:c r="H2" s="8" t="str">
        <x:v>2025年第13周（3月3日至3月7日），14条产线×10个班次</x:v>
      </x:c>
      <x:c r="I2" s="8" t="str">
        <x:v>2025年第13周（3月3日至3月7日），14条产线×10个班次</x:v>
      </x:c>
      <x:c r="J2" s="8" t="str">
        <x:v>2025年第13周（3月3日至3月7日），14条产线×10个班次</x:v>
      </x:c>
      <x:c r="K2" s="8" t="str">
        <x:v>2025年第13周（3月3日至3月7日），14条产线×10个班次</x:v>
      </x:c>
      <x:c r="L2" s="8" t="str">
        <x:v>2025年第13周（3月3日至3月7日），14条产线×10个班次</x:v>
      </x:c>
    </x:row>
    <x:row r="4" ht="26" customHeight="1">
      <x:c r="A4" s="14" t="str">
        <x:v>﻿生产日期</x:v>
      </x:c>
      <x:c r="B4" s="14" t="str">
        <x:v>班次</x:v>
      </x:c>
      <x:c r="C4" s="14" t="str">
        <x:v>产线</x:v>
      </x:c>
      <x:c r="D4" s="14" t="str">
        <x:v>产品</x:v>
      </x:c>
      <x:c r="E4" s="14" t="str">
        <x:v>酒质</x:v>
      </x:c>
      <x:c r="F4" s="14" t="str">
        <x:v>计划生产量</x:v>
      </x:c>
      <x:c r="G4" s="14" t="str">
        <x:v>班次产能估计</x:v>
      </x:c>
      <x:c r="H4" s="14" t="str">
        <x:v>产能利用率</x:v>
      </x:c>
      <x:c r="I4" s="14" t="str">
        <x:v>产线偏好得分</x:v>
      </x:c>
      <x:c r="J4" s="14" t="str">
        <x:v>产品换产标记</x:v>
      </x:c>
      <x:c r="K4" s="14" t="str">
        <x:v>酒质切换标记</x:v>
      </x:c>
      <x:c r="L4" s="14" t="str">
        <x:v>模型</x:v>
      </x:c>
    </x:row>
    <x:row r="5" ht="20" customHeight="1">
      <x:c r="A5" s="22" t="str">
        <x:v>2025-03-03</x:v>
      </x:c>
      <x:c r="B5" s="22" t="str">
        <x:v>早班</x:v>
      </x:c>
      <x:c r="C5" s="22" t="str">
        <x:v>L01</x:v>
      </x:c>
      <x:c r="D5" s="22" t="str">
        <x:v>P0017</x:v>
      </x:c>
      <x:c r="E5" s="22" t="str">
        <x:v>Q03</x:v>
      </x:c>
      <x:c r="F5" s="27" t="n">
        <x:v>21151</x:v>
      </x:c>
      <x:c r="G5" s="27" t="n">
        <x:v>21151</x:v>
      </x:c>
      <x:c r="H5" s="28" t="n">
        <x:v>1</x:v>
      </x:c>
      <x:c r="I5" s="29" t="n">
        <x:v>0.8</x:v>
      </x:c>
      <x:c r="J5" s="26" t="n">
        <x:v>0</x:v>
      </x:c>
      <x:c r="K5" s="26" t="n">
        <x:v>0</x:v>
      </x:c>
      <x:c r="L5" s="22" t="str">
        <x:v>标准化剩余率MILP</x:v>
      </x:c>
    </x:row>
    <x:row r="6" ht="20" customHeight="1">
      <x:c r="A6" s="22" t="str">
        <x:v>2025-03-03</x:v>
      </x:c>
      <x:c r="B6" s="22" t="str">
        <x:v>早班</x:v>
      </x:c>
      <x:c r="C6" s="22" t="str">
        <x:v>L02</x:v>
      </x:c>
      <x:c r="D6" s="22" t="str">
        <x:v>P0136</x:v>
      </x:c>
      <x:c r="E6" s="22" t="str">
        <x:v>Q03</x:v>
      </x:c>
      <x:c r="F6" s="27" t="n">
        <x:v>14160</x:v>
      </x:c>
      <x:c r="G6" s="27" t="n">
        <x:v>14160</x:v>
      </x:c>
      <x:c r="H6" s="28" t="n">
        <x:v>1</x:v>
      </x:c>
      <x:c r="I6" s="29" t="n">
        <x:v>1</x:v>
      </x:c>
      <x:c r="J6" s="26" t="n">
        <x:v>0</x:v>
      </x:c>
      <x:c r="K6" s="26" t="n">
        <x:v>0</x:v>
      </x:c>
      <x:c r="L6" s="22" t="str">
        <x:v>标准化剩余率MILP</x:v>
      </x:c>
    </x:row>
    <x:row r="7" ht="20" customHeight="1">
      <x:c r="A7" s="22" t="str">
        <x:v>2025-03-03</x:v>
      </x:c>
      <x:c r="B7" s="22" t="str">
        <x:v>早班</x:v>
      </x:c>
      <x:c r="C7" s="22" t="str">
        <x:v>L03</x:v>
      </x:c>
      <x:c r="D7" s="22" t="str">
        <x:v>P0070</x:v>
      </x:c>
      <x:c r="E7" s="22" t="str">
        <x:v>Q03</x:v>
      </x:c>
      <x:c r="F7" s="27" t="n">
        <x:v>42000</x:v>
      </x:c>
      <x:c r="G7" s="27" t="n">
        <x:v>42000</x:v>
      </x:c>
      <x:c r="H7" s="28" t="n">
        <x:v>1</x:v>
      </x:c>
      <x:c r="I7" s="29" t="n">
        <x:v>0.6</x:v>
      </x:c>
      <x:c r="J7" s="26" t="n">
        <x:v>0</x:v>
      </x:c>
      <x:c r="K7" s="26" t="n">
        <x:v>0</x:v>
      </x:c>
      <x:c r="L7" s="22" t="str">
        <x:v>标准化剩余率MILP</x:v>
      </x:c>
    </x:row>
    <x:row r="8" ht="20" customHeight="1">
      <x:c r="A8" s="22" t="str">
        <x:v>2025-03-03</x:v>
      </x:c>
      <x:c r="B8" s="22" t="str">
        <x:v>早班</x:v>
      </x:c>
      <x:c r="C8" s="22" t="str">
        <x:v>L04</x:v>
      </x:c>
      <x:c r="D8" s="22" t="str">
        <x:v>P0163</x:v>
      </x:c>
      <x:c r="E8" s="22" t="str">
        <x:v>Q06</x:v>
      </x:c>
      <x:c r="F8" s="27" t="n">
        <x:v>21500</x:v>
      </x:c>
      <x:c r="G8" s="27" t="n">
        <x:v>21500</x:v>
      </x:c>
      <x:c r="H8" s="28" t="n">
        <x:v>1</x:v>
      </x:c>
      <x:c r="I8" s="29" t="n">
        <x:v>1</x:v>
      </x:c>
      <x:c r="J8" s="26" t="n">
        <x:v>0</x:v>
      </x:c>
      <x:c r="K8" s="26" t="n">
        <x:v>0</x:v>
      </x:c>
      <x:c r="L8" s="22" t="str">
        <x:v>标准化剩余率MILP</x:v>
      </x:c>
    </x:row>
    <x:row r="9" ht="20" customHeight="1">
      <x:c r="A9" s="22" t="str">
        <x:v>2025-03-03</x:v>
      </x:c>
      <x:c r="B9" s="22" t="str">
        <x:v>早班</x:v>
      </x:c>
      <x:c r="C9" s="22" t="str">
        <x:v>L05</x:v>
      </x:c>
      <x:c r="D9" s="22" t="str"/>
      <x:c r="E9" s="22" t="str"/>
      <x:c r="F9" s="27" t="n">
        <x:v>0</x:v>
      </x:c>
      <x:c r="G9" s="27" t="n">
        <x:v>0</x:v>
      </x:c>
      <x:c r="H9" s="28" t="n">
        <x:v>0</x:v>
      </x:c>
      <x:c r="I9" s="29" t="n">
        <x:v>0</x:v>
      </x:c>
      <x:c r="J9" s="26" t="n">
        <x:v>0</x:v>
      </x:c>
      <x:c r="K9" s="26" t="n">
        <x:v>0</x:v>
      </x:c>
      <x:c r="L9" s="22" t="str">
        <x:v>标准化剩余率MILP</x:v>
      </x:c>
    </x:row>
    <x:row r="10" ht="20" customHeight="1">
      <x:c r="A10" s="22" t="str">
        <x:v>2025-03-03</x:v>
      </x:c>
      <x:c r="B10" s="22" t="str">
        <x:v>早班</x:v>
      </x:c>
      <x:c r="C10" s="22" t="str">
        <x:v>L06</x:v>
      </x:c>
      <x:c r="D10" s="22" t="str">
        <x:v>P0013</x:v>
      </x:c>
      <x:c r="E10" s="22" t="str">
        <x:v>Q03</x:v>
      </x:c>
      <x:c r="F10" s="27" t="n">
        <x:v>34000</x:v>
      </x:c>
      <x:c r="G10" s="27" t="n">
        <x:v>34000</x:v>
      </x:c>
      <x:c r="H10" s="28" t="n">
        <x:v>1</x:v>
      </x:c>
      <x:c r="I10" s="29" t="n">
        <x:v>0.884614</x:v>
      </x:c>
      <x:c r="J10" s="26" t="n">
        <x:v>0</x:v>
      </x:c>
      <x:c r="K10" s="26" t="n">
        <x:v>0</x:v>
      </x:c>
      <x:c r="L10" s="22" t="str">
        <x:v>标准化剩余率MILP</x:v>
      </x:c>
    </x:row>
    <x:row r="11" ht="20" customHeight="1">
      <x:c r="A11" s="22" t="str">
        <x:v>2025-03-03</x:v>
      </x:c>
      <x:c r="B11" s="22" t="str">
        <x:v>早班</x:v>
      </x:c>
      <x:c r="C11" s="22" t="str">
        <x:v>L07</x:v>
      </x:c>
      <x:c r="D11" s="22" t="str">
        <x:v>P0165</x:v>
      </x:c>
      <x:c r="E11" s="22" t="str">
        <x:v>Q06</x:v>
      </x:c>
      <x:c r="F11" s="27" t="n">
        <x:v>21000</x:v>
      </x:c>
      <x:c r="G11" s="27" t="n">
        <x:v>21000</x:v>
      </x:c>
      <x:c r="H11" s="28" t="n">
        <x:v>1</x:v>
      </x:c>
      <x:c r="I11" s="29" t="n">
        <x:v>1</x:v>
      </x:c>
      <x:c r="J11" s="26" t="n">
        <x:v>0</x:v>
      </x:c>
      <x:c r="K11" s="26" t="n">
        <x:v>0</x:v>
      </x:c>
      <x:c r="L11" s="22" t="str">
        <x:v>标准化剩余率MILP</x:v>
      </x:c>
    </x:row>
    <x:row r="12" ht="20" customHeight="1">
      <x:c r="A12" s="22" t="str">
        <x:v>2025-03-03</x:v>
      </x:c>
      <x:c r="B12" s="22" t="str">
        <x:v>早班</x:v>
      </x:c>
      <x:c r="C12" s="22" t="str">
        <x:v>L08</x:v>
      </x:c>
      <x:c r="D12" s="22" t="str">
        <x:v>P0004</x:v>
      </x:c>
      <x:c r="E12" s="22" t="str">
        <x:v>Q02</x:v>
      </x:c>
      <x:c r="F12" s="27" t="n">
        <x:v>35000</x:v>
      </x:c>
      <x:c r="G12" s="27" t="n">
        <x:v>35000</x:v>
      </x:c>
      <x:c r="H12" s="28" t="n">
        <x:v>1</x:v>
      </x:c>
      <x:c r="I12" s="29" t="n">
        <x:v>1</x:v>
      </x:c>
      <x:c r="J12" s="26" t="n">
        <x:v>0</x:v>
      </x:c>
      <x:c r="K12" s="26" t="n">
        <x:v>0</x:v>
      </x:c>
      <x:c r="L12" s="22" t="str">
        <x:v>标准化剩余率MILP</x:v>
      </x:c>
    </x:row>
    <x:row r="13" ht="20" customHeight="1">
      <x:c r="A13" s="22" t="str">
        <x:v>2025-03-03</x:v>
      </x:c>
      <x:c r="B13" s="22" t="str">
        <x:v>早班</x:v>
      </x:c>
      <x:c r="C13" s="22" t="str">
        <x:v>L09</x:v>
      </x:c>
      <x:c r="D13" s="22" t="str">
        <x:v>P0064</x:v>
      </x:c>
      <x:c r="E13" s="22" t="str">
        <x:v>Q12</x:v>
      </x:c>
      <x:c r="F13" s="27" t="n">
        <x:v>18849</x:v>
      </x:c>
      <x:c r="G13" s="27" t="n">
        <x:v>18849</x:v>
      </x:c>
      <x:c r="H13" s="28" t="n">
        <x:v>1</x:v>
      </x:c>
      <x:c r="I13" s="29" t="n">
        <x:v>0.8</x:v>
      </x:c>
      <x:c r="J13" s="26" t="n">
        <x:v>0</x:v>
      </x:c>
      <x:c r="K13" s="26" t="n">
        <x:v>0</x:v>
      </x:c>
      <x:c r="L13" s="22" t="str">
        <x:v>标准化剩余率MILP</x:v>
      </x:c>
    </x:row>
    <x:row r="14" ht="20" customHeight="1">
      <x:c r="A14" s="22" t="str">
        <x:v>2025-03-03</x:v>
      </x:c>
      <x:c r="B14" s="22" t="str">
        <x:v>早班</x:v>
      </x:c>
      <x:c r="C14" s="22" t="str">
        <x:v>L10</x:v>
      </x:c>
      <x:c r="D14" s="22" t="str">
        <x:v>P0014</x:v>
      </x:c>
      <x:c r="E14" s="22" t="str">
        <x:v>Q03</x:v>
      </x:c>
      <x:c r="F14" s="27" t="n">
        <x:v>110000</x:v>
      </x:c>
      <x:c r="G14" s="27" t="n">
        <x:v>110000</x:v>
      </x:c>
      <x:c r="H14" s="28" t="n">
        <x:v>1</x:v>
      </x:c>
      <x:c r="I14" s="29" t="n">
        <x:v>0.877029</x:v>
      </x:c>
      <x:c r="J14" s="26" t="n">
        <x:v>0</x:v>
      </x:c>
      <x:c r="K14" s="26" t="n">
        <x:v>0</x:v>
      </x:c>
      <x:c r="L14" s="22" t="str">
        <x:v>标准化剩余率MILP</x:v>
      </x:c>
    </x:row>
    <x:row r="15" ht="20" customHeight="1">
      <x:c r="A15" s="22" t="str">
        <x:v>2025-03-03</x:v>
      </x:c>
      <x:c r="B15" s="22" t="str">
        <x:v>早班</x:v>
      </x:c>
      <x:c r="C15" s="22" t="str">
        <x:v>L11</x:v>
      </x:c>
      <x:c r="D15" s="22" t="str">
        <x:v>P0043</x:v>
      </x:c>
      <x:c r="E15" s="22" t="str">
        <x:v>Q04</x:v>
      </x:c>
      <x:c r="F15" s="27" t="n">
        <x:v>35000</x:v>
      </x:c>
      <x:c r="G15" s="27" t="n">
        <x:v>35000</x:v>
      </x:c>
      <x:c r="H15" s="28" t="n">
        <x:v>1</x:v>
      </x:c>
      <x:c r="I15" s="29" t="n">
        <x:v>1</x:v>
      </x:c>
      <x:c r="J15" s="26" t="n">
        <x:v>0</x:v>
      </x:c>
      <x:c r="K15" s="26" t="n">
        <x:v>0</x:v>
      </x:c>
      <x:c r="L15" s="22" t="str">
        <x:v>标准化剩余率MILP</x:v>
      </x:c>
    </x:row>
    <x:row r="16" ht="20" customHeight="1">
      <x:c r="A16" s="22" t="str">
        <x:v>2025-03-03</x:v>
      </x:c>
      <x:c r="B16" s="22" t="str">
        <x:v>早班</x:v>
      </x:c>
      <x:c r="C16" s="22" t="str">
        <x:v>L12</x:v>
      </x:c>
      <x:c r="D16" s="22" t="str">
        <x:v>P0015</x:v>
      </x:c>
      <x:c r="E16" s="22" t="str">
        <x:v>Q03</x:v>
      </x:c>
      <x:c r="F16" s="27" t="n">
        <x:v>35000</x:v>
      </x:c>
      <x:c r="G16" s="27" t="n">
        <x:v>35000</x:v>
      </x:c>
      <x:c r="H16" s="28" t="n">
        <x:v>1</x:v>
      </x:c>
      <x:c r="I16" s="29" t="n">
        <x:v>0.857143</x:v>
      </x:c>
      <x:c r="J16" s="26" t="n">
        <x:v>0</x:v>
      </x:c>
      <x:c r="K16" s="26" t="n">
        <x:v>0</x:v>
      </x:c>
      <x:c r="L16" s="22" t="str">
        <x:v>标准化剩余率MILP</x:v>
      </x:c>
    </x:row>
    <x:row r="17" ht="20" customHeight="1">
      <x:c r="A17" s="22" t="str">
        <x:v>2025-03-03</x:v>
      </x:c>
      <x:c r="B17" s="22" t="str">
        <x:v>早班</x:v>
      </x:c>
      <x:c r="C17" s="22" t="str">
        <x:v>L13</x:v>
      </x:c>
      <x:c r="D17" s="22" t="str">
        <x:v>P0060</x:v>
      </x:c>
      <x:c r="E17" s="22" t="str">
        <x:v>Q09</x:v>
      </x:c>
      <x:c r="F17" s="27" t="n">
        <x:v>13000</x:v>
      </x:c>
      <x:c r="G17" s="27" t="n">
        <x:v>13000</x:v>
      </x:c>
      <x:c r="H17" s="28" t="n">
        <x:v>1</x:v>
      </x:c>
      <x:c r="I17" s="29" t="n">
        <x:v>1</x:v>
      </x:c>
      <x:c r="J17" s="26" t="n">
        <x:v>0</x:v>
      </x:c>
      <x:c r="K17" s="26" t="n">
        <x:v>0</x:v>
      </x:c>
      <x:c r="L17" s="22" t="str">
        <x:v>标准化剩余率MILP</x:v>
      </x:c>
    </x:row>
    <x:row r="18" ht="20" customHeight="1">
      <x:c r="A18" s="22" t="str">
        <x:v>2025-03-03</x:v>
      </x:c>
      <x:c r="B18" s="22" t="str">
        <x:v>早班</x:v>
      </x:c>
      <x:c r="C18" s="22" t="str">
        <x:v>L14</x:v>
      </x:c>
      <x:c r="D18" s="22" t="str">
        <x:v>P0027</x:v>
      </x:c>
      <x:c r="E18" s="22" t="str">
        <x:v>Q03</x:v>
      </x:c>
      <x:c r="F18" s="27" t="n">
        <x:v>5600</x:v>
      </x:c>
      <x:c r="G18" s="27" t="n">
        <x:v>5600</x:v>
      </x:c>
      <x:c r="H18" s="28" t="n">
        <x:v>1</x:v>
      </x:c>
      <x:c r="I18" s="29" t="n">
        <x:v>0.6</x:v>
      </x:c>
      <x:c r="J18" s="26" t="n">
        <x:v>0</x:v>
      </x:c>
      <x:c r="K18" s="26" t="n">
        <x:v>0</x:v>
      </x:c>
      <x:c r="L18" s="22" t="str">
        <x:v>标准化剩余率MILP</x:v>
      </x:c>
    </x:row>
    <x:row r="19" ht="20" customHeight="1">
      <x:c r="A19" s="22" t="str">
        <x:v>2025-03-03</x:v>
      </x:c>
      <x:c r="B19" s="22" t="str">
        <x:v>中班</x:v>
      </x:c>
      <x:c r="C19" s="22" t="str">
        <x:v>L01</x:v>
      </x:c>
      <x:c r="D19" s="22" t="str">
        <x:v>P0017</x:v>
      </x:c>
      <x:c r="E19" s="22" t="str">
        <x:v>Q03</x:v>
      </x:c>
      <x:c r="F19" s="27" t="n">
        <x:v>21151</x:v>
      </x:c>
      <x:c r="G19" s="27" t="n">
        <x:v>21151</x:v>
      </x:c>
      <x:c r="H19" s="28" t="n">
        <x:v>1</x:v>
      </x:c>
      <x:c r="I19" s="29" t="n">
        <x:v>0.8</x:v>
      </x:c>
      <x:c r="J19" s="26" t="n">
        <x:v>0</x:v>
      </x:c>
      <x:c r="K19" s="26" t="n">
        <x:v>0</x:v>
      </x:c>
      <x:c r="L19" s="22" t="str">
        <x:v>标准化剩余率MILP</x:v>
      </x:c>
    </x:row>
    <x:row r="20" ht="20" customHeight="1">
      <x:c r="A20" s="22" t="str">
        <x:v>2025-03-03</x:v>
      </x:c>
      <x:c r="B20" s="22" t="str">
        <x:v>中班</x:v>
      </x:c>
      <x:c r="C20" s="22" t="str">
        <x:v>L02</x:v>
      </x:c>
      <x:c r="D20" s="22" t="str">
        <x:v>P0136</x:v>
      </x:c>
      <x:c r="E20" s="22" t="str">
        <x:v>Q03</x:v>
      </x:c>
      <x:c r="F20" s="27" t="n">
        <x:v>14160</x:v>
      </x:c>
      <x:c r="G20" s="27" t="n">
        <x:v>14160</x:v>
      </x:c>
      <x:c r="H20" s="28" t="n">
        <x:v>1</x:v>
      </x:c>
      <x:c r="I20" s="29" t="n">
        <x:v>1</x:v>
      </x:c>
      <x:c r="J20" s="26" t="n">
        <x:v>0</x:v>
      </x:c>
      <x:c r="K20" s="26" t="n">
        <x:v>0</x:v>
      </x:c>
      <x:c r="L20" s="22" t="str">
        <x:v>标准化剩余率MILP</x:v>
      </x:c>
    </x:row>
    <x:row r="21" ht="20" customHeight="1">
      <x:c r="A21" s="22" t="str">
        <x:v>2025-03-03</x:v>
      </x:c>
      <x:c r="B21" s="22" t="str">
        <x:v>中班</x:v>
      </x:c>
      <x:c r="C21" s="22" t="str">
        <x:v>L03</x:v>
      </x:c>
      <x:c r="D21" s="22" t="str">
        <x:v>P0070</x:v>
      </x:c>
      <x:c r="E21" s="22" t="str">
        <x:v>Q03</x:v>
      </x:c>
      <x:c r="F21" s="27" t="n">
        <x:v>42000</x:v>
      </x:c>
      <x:c r="G21" s="27" t="n">
        <x:v>42000</x:v>
      </x:c>
      <x:c r="H21" s="28" t="n">
        <x:v>1</x:v>
      </x:c>
      <x:c r="I21" s="29" t="n">
        <x:v>0.6</x:v>
      </x:c>
      <x:c r="J21" s="26" t="n">
        <x:v>0</x:v>
      </x:c>
      <x:c r="K21" s="26" t="n">
        <x:v>0</x:v>
      </x:c>
      <x:c r="L21" s="22" t="str">
        <x:v>标准化剩余率MILP</x:v>
      </x:c>
    </x:row>
    <x:row r="22" ht="20" customHeight="1">
      <x:c r="A22" s="22" t="str">
        <x:v>2025-03-03</x:v>
      </x:c>
      <x:c r="B22" s="22" t="str">
        <x:v>中班</x:v>
      </x:c>
      <x:c r="C22" s="22" t="str">
        <x:v>L04</x:v>
      </x:c>
      <x:c r="D22" s="22" t="str">
        <x:v>P0163</x:v>
      </x:c>
      <x:c r="E22" s="22" t="str">
        <x:v>Q06</x:v>
      </x:c>
      <x:c r="F22" s="27" t="n">
        <x:v>21500</x:v>
      </x:c>
      <x:c r="G22" s="27" t="n">
        <x:v>21500</x:v>
      </x:c>
      <x:c r="H22" s="28" t="n">
        <x:v>1</x:v>
      </x:c>
      <x:c r="I22" s="29" t="n">
        <x:v>1</x:v>
      </x:c>
      <x:c r="J22" s="26" t="n">
        <x:v>0</x:v>
      </x:c>
      <x:c r="K22" s="26" t="n">
        <x:v>0</x:v>
      </x:c>
      <x:c r="L22" s="22" t="str">
        <x:v>标准化剩余率MILP</x:v>
      </x:c>
    </x:row>
    <x:row r="23" ht="20" customHeight="1">
      <x:c r="A23" s="22" t="str">
        <x:v>2025-03-03</x:v>
      </x:c>
      <x:c r="B23" s="22" t="str">
        <x:v>中班</x:v>
      </x:c>
      <x:c r="C23" s="22" t="str">
        <x:v>L05</x:v>
      </x:c>
      <x:c r="D23" s="22" t="str"/>
      <x:c r="E23" s="22" t="str"/>
      <x:c r="F23" s="27" t="n">
        <x:v>0</x:v>
      </x:c>
      <x:c r="G23" s="27" t="n">
        <x:v>0</x:v>
      </x:c>
      <x:c r="H23" s="28" t="n">
        <x:v>0</x:v>
      </x:c>
      <x:c r="I23" s="29" t="n">
        <x:v>0</x:v>
      </x:c>
      <x:c r="J23" s="26" t="n">
        <x:v>0</x:v>
      </x:c>
      <x:c r="K23" s="26" t="n">
        <x:v>0</x:v>
      </x:c>
      <x:c r="L23" s="22" t="str">
        <x:v>标准化剩余率MILP</x:v>
      </x:c>
    </x:row>
    <x:row r="24" ht="20" customHeight="1">
      <x:c r="A24" s="22" t="str">
        <x:v>2025-03-03</x:v>
      </x:c>
      <x:c r="B24" s="22" t="str">
        <x:v>中班</x:v>
      </x:c>
      <x:c r="C24" s="22" t="str">
        <x:v>L06</x:v>
      </x:c>
      <x:c r="D24" s="22" t="str">
        <x:v>P0013</x:v>
      </x:c>
      <x:c r="E24" s="22" t="str">
        <x:v>Q03</x:v>
      </x:c>
      <x:c r="F24" s="27" t="n">
        <x:v>34000</x:v>
      </x:c>
      <x:c r="G24" s="27" t="n">
        <x:v>34000</x:v>
      </x:c>
      <x:c r="H24" s="28" t="n">
        <x:v>1</x:v>
      </x:c>
      <x:c r="I24" s="29" t="n">
        <x:v>0.884614</x:v>
      </x:c>
      <x:c r="J24" s="26" t="n">
        <x:v>0</x:v>
      </x:c>
      <x:c r="K24" s="26" t="n">
        <x:v>0</x:v>
      </x:c>
      <x:c r="L24" s="22" t="str">
        <x:v>标准化剩余率MILP</x:v>
      </x:c>
    </x:row>
    <x:row r="25" ht="20" customHeight="1">
      <x:c r="A25" s="22" t="str">
        <x:v>2025-03-03</x:v>
      </x:c>
      <x:c r="B25" s="22" t="str">
        <x:v>中班</x:v>
      </x:c>
      <x:c r="C25" s="22" t="str">
        <x:v>L07</x:v>
      </x:c>
      <x:c r="D25" s="22" t="str">
        <x:v>P0165</x:v>
      </x:c>
      <x:c r="E25" s="22" t="str">
        <x:v>Q06</x:v>
      </x:c>
      <x:c r="F25" s="27" t="n">
        <x:v>21000</x:v>
      </x:c>
      <x:c r="G25" s="27" t="n">
        <x:v>21000</x:v>
      </x:c>
      <x:c r="H25" s="28" t="n">
        <x:v>1</x:v>
      </x:c>
      <x:c r="I25" s="29" t="n">
        <x:v>1</x:v>
      </x:c>
      <x:c r="J25" s="26" t="n">
        <x:v>0</x:v>
      </x:c>
      <x:c r="K25" s="26" t="n">
        <x:v>0</x:v>
      </x:c>
      <x:c r="L25" s="22" t="str">
        <x:v>标准化剩余率MILP</x:v>
      </x:c>
    </x:row>
    <x:row r="26" ht="20" customHeight="1">
      <x:c r="A26" s="22" t="str">
        <x:v>2025-03-03</x:v>
      </x:c>
      <x:c r="B26" s="22" t="str">
        <x:v>中班</x:v>
      </x:c>
      <x:c r="C26" s="22" t="str">
        <x:v>L08</x:v>
      </x:c>
      <x:c r="D26" s="22" t="str">
        <x:v>P0004</x:v>
      </x:c>
      <x:c r="E26" s="22" t="str">
        <x:v>Q02</x:v>
      </x:c>
      <x:c r="F26" s="27" t="n">
        <x:v>35000</x:v>
      </x:c>
      <x:c r="G26" s="27" t="n">
        <x:v>35000</x:v>
      </x:c>
      <x:c r="H26" s="28" t="n">
        <x:v>1</x:v>
      </x:c>
      <x:c r="I26" s="29" t="n">
        <x:v>1</x:v>
      </x:c>
      <x:c r="J26" s="26" t="n">
        <x:v>0</x:v>
      </x:c>
      <x:c r="K26" s="26" t="n">
        <x:v>0</x:v>
      </x:c>
      <x:c r="L26" s="22" t="str">
        <x:v>标准化剩余率MILP</x:v>
      </x:c>
    </x:row>
    <x:row r="27" ht="20" customHeight="1">
      <x:c r="A27" s="22" t="str">
        <x:v>2025-03-03</x:v>
      </x:c>
      <x:c r="B27" s="22" t="str">
        <x:v>中班</x:v>
      </x:c>
      <x:c r="C27" s="22" t="str">
        <x:v>L09</x:v>
      </x:c>
      <x:c r="D27" s="22" t="str">
        <x:v>P0064</x:v>
      </x:c>
      <x:c r="E27" s="22" t="str">
        <x:v>Q12</x:v>
      </x:c>
      <x:c r="F27" s="27" t="n">
        <x:v>18849</x:v>
      </x:c>
      <x:c r="G27" s="27" t="n">
        <x:v>18849</x:v>
      </x:c>
      <x:c r="H27" s="28" t="n">
        <x:v>1</x:v>
      </x:c>
      <x:c r="I27" s="29" t="n">
        <x:v>0.8</x:v>
      </x:c>
      <x:c r="J27" s="26" t="n">
        <x:v>0</x:v>
      </x:c>
      <x:c r="K27" s="26" t="n">
        <x:v>0</x:v>
      </x:c>
      <x:c r="L27" s="22" t="str">
        <x:v>标准化剩余率MILP</x:v>
      </x:c>
    </x:row>
    <x:row r="28" ht="20" customHeight="1">
      <x:c r="A28" s="22" t="str">
        <x:v>2025-03-03</x:v>
      </x:c>
      <x:c r="B28" s="22" t="str">
        <x:v>中班</x:v>
      </x:c>
      <x:c r="C28" s="22" t="str">
        <x:v>L10</x:v>
      </x:c>
      <x:c r="D28" s="22" t="str">
        <x:v>P0014</x:v>
      </x:c>
      <x:c r="E28" s="22" t="str">
        <x:v>Q03</x:v>
      </x:c>
      <x:c r="F28" s="27" t="n">
        <x:v>110000</x:v>
      </x:c>
      <x:c r="G28" s="27" t="n">
        <x:v>110000</x:v>
      </x:c>
      <x:c r="H28" s="28" t="n">
        <x:v>1</x:v>
      </x:c>
      <x:c r="I28" s="29" t="n">
        <x:v>0.877029</x:v>
      </x:c>
      <x:c r="J28" s="26" t="n">
        <x:v>0</x:v>
      </x:c>
      <x:c r="K28" s="26" t="n">
        <x:v>0</x:v>
      </x:c>
      <x:c r="L28" s="22" t="str">
        <x:v>标准化剩余率MILP</x:v>
      </x:c>
    </x:row>
    <x:row r="29" ht="20" customHeight="1">
      <x:c r="A29" s="22" t="str">
        <x:v>2025-03-03</x:v>
      </x:c>
      <x:c r="B29" s="22" t="str">
        <x:v>中班</x:v>
      </x:c>
      <x:c r="C29" s="22" t="str">
        <x:v>L11</x:v>
      </x:c>
      <x:c r="D29" s="22" t="str">
        <x:v>P0043</x:v>
      </x:c>
      <x:c r="E29" s="22" t="str">
        <x:v>Q04</x:v>
      </x:c>
      <x:c r="F29" s="27" t="n">
        <x:v>35000</x:v>
      </x:c>
      <x:c r="G29" s="27" t="n">
        <x:v>35000</x:v>
      </x:c>
      <x:c r="H29" s="28" t="n">
        <x:v>1</x:v>
      </x:c>
      <x:c r="I29" s="29" t="n">
        <x:v>1</x:v>
      </x:c>
      <x:c r="J29" s="26" t="n">
        <x:v>0</x:v>
      </x:c>
      <x:c r="K29" s="26" t="n">
        <x:v>0</x:v>
      </x:c>
      <x:c r="L29" s="22" t="str">
        <x:v>标准化剩余率MILP</x:v>
      </x:c>
    </x:row>
    <x:row r="30" ht="20" customHeight="1">
      <x:c r="A30" s="22" t="str">
        <x:v>2025-03-03</x:v>
      </x:c>
      <x:c r="B30" s="22" t="str">
        <x:v>中班</x:v>
      </x:c>
      <x:c r="C30" s="22" t="str">
        <x:v>L12</x:v>
      </x:c>
      <x:c r="D30" s="22" t="str">
        <x:v>P0015</x:v>
      </x:c>
      <x:c r="E30" s="22" t="str">
        <x:v>Q03</x:v>
      </x:c>
      <x:c r="F30" s="27" t="n">
        <x:v>35000</x:v>
      </x:c>
      <x:c r="G30" s="27" t="n">
        <x:v>35000</x:v>
      </x:c>
      <x:c r="H30" s="28" t="n">
        <x:v>1</x:v>
      </x:c>
      <x:c r="I30" s="29" t="n">
        <x:v>0.857143</x:v>
      </x:c>
      <x:c r="J30" s="26" t="n">
        <x:v>0</x:v>
      </x:c>
      <x:c r="K30" s="26" t="n">
        <x:v>0</x:v>
      </x:c>
      <x:c r="L30" s="22" t="str">
        <x:v>标准化剩余率MILP</x:v>
      </x:c>
    </x:row>
    <x:row r="31" ht="20" customHeight="1">
      <x:c r="A31" s="22" t="str">
        <x:v>2025-03-03</x:v>
      </x:c>
      <x:c r="B31" s="22" t="str">
        <x:v>中班</x:v>
      </x:c>
      <x:c r="C31" s="22" t="str">
        <x:v>L13</x:v>
      </x:c>
      <x:c r="D31" s="22" t="str">
        <x:v>P0060</x:v>
      </x:c>
      <x:c r="E31" s="22" t="str">
        <x:v>Q09</x:v>
      </x:c>
      <x:c r="F31" s="27" t="n">
        <x:v>11720</x:v>
      </x:c>
      <x:c r="G31" s="27" t="n">
        <x:v>13000</x:v>
      </x:c>
      <x:c r="H31" s="28" t="n">
        <x:v>0.901538</x:v>
      </x:c>
      <x:c r="I31" s="29" t="n">
        <x:v>1</x:v>
      </x:c>
      <x:c r="J31" s="26" t="n">
        <x:v>0</x:v>
      </x:c>
      <x:c r="K31" s="26" t="n">
        <x:v>0</x:v>
      </x:c>
      <x:c r="L31" s="22" t="str">
        <x:v>标准化剩余率MILP</x:v>
      </x:c>
    </x:row>
    <x:row r="32" ht="20" customHeight="1">
      <x:c r="A32" s="22" t="str">
        <x:v>2025-03-03</x:v>
      </x:c>
      <x:c r="B32" s="22" t="str">
        <x:v>中班</x:v>
      </x:c>
      <x:c r="C32" s="22" t="str">
        <x:v>L14</x:v>
      </x:c>
      <x:c r="D32" s="22" t="str">
        <x:v>P0027</x:v>
      </x:c>
      <x:c r="E32" s="22" t="str">
        <x:v>Q03</x:v>
      </x:c>
      <x:c r="F32" s="27" t="n">
        <x:v>5600</x:v>
      </x:c>
      <x:c r="G32" s="27" t="n">
        <x:v>5600</x:v>
      </x:c>
      <x:c r="H32" s="28" t="n">
        <x:v>1</x:v>
      </x:c>
      <x:c r="I32" s="29" t="n">
        <x:v>0.6</x:v>
      </x:c>
      <x:c r="J32" s="26" t="n">
        <x:v>0</x:v>
      </x:c>
      <x:c r="K32" s="26" t="n">
        <x:v>0</x:v>
      </x:c>
      <x:c r="L32" s="22" t="str">
        <x:v>标准化剩余率MILP</x:v>
      </x:c>
    </x:row>
    <x:row r="33" ht="20" customHeight="1">
      <x:c r="A33" s="22" t="str">
        <x:v>2025-03-04</x:v>
      </x:c>
      <x:c r="B33" s="22" t="str">
        <x:v>早班</x:v>
      </x:c>
      <x:c r="C33" s="22" t="str">
        <x:v>L01</x:v>
      </x:c>
      <x:c r="D33" s="22" t="str">
        <x:v>P0017</x:v>
      </x:c>
      <x:c r="E33" s="22" t="str">
        <x:v>Q03</x:v>
      </x:c>
      <x:c r="F33" s="27" t="n">
        <x:v>21151</x:v>
      </x:c>
      <x:c r="G33" s="27" t="n">
        <x:v>21151</x:v>
      </x:c>
      <x:c r="H33" s="28" t="n">
        <x:v>1</x:v>
      </x:c>
      <x:c r="I33" s="29" t="n">
        <x:v>0.8</x:v>
      </x:c>
      <x:c r="J33" s="26" t="n">
        <x:v>0</x:v>
      </x:c>
      <x:c r="K33" s="26" t="n">
        <x:v>0</x:v>
      </x:c>
      <x:c r="L33" s="22" t="str">
        <x:v>标准化剩余率MILP</x:v>
      </x:c>
    </x:row>
    <x:row r="34" ht="20" customHeight="1">
      <x:c r="A34" s="22" t="str">
        <x:v>2025-03-04</x:v>
      </x:c>
      <x:c r="B34" s="22" t="str">
        <x:v>早班</x:v>
      </x:c>
      <x:c r="C34" s="22" t="str">
        <x:v>L02</x:v>
      </x:c>
      <x:c r="D34" s="22" t="str">
        <x:v>P0136</x:v>
      </x:c>
      <x:c r="E34" s="22" t="str">
        <x:v>Q03</x:v>
      </x:c>
      <x:c r="F34" s="27" t="n">
        <x:v>14160</x:v>
      </x:c>
      <x:c r="G34" s="27" t="n">
        <x:v>14160</x:v>
      </x:c>
      <x:c r="H34" s="28" t="n">
        <x:v>1</x:v>
      </x:c>
      <x:c r="I34" s="29" t="n">
        <x:v>1</x:v>
      </x:c>
      <x:c r="J34" s="26" t="n">
        <x:v>0</x:v>
      </x:c>
      <x:c r="K34" s="26" t="n">
        <x:v>0</x:v>
      </x:c>
      <x:c r="L34" s="22" t="str">
        <x:v>标准化剩余率MILP</x:v>
      </x:c>
    </x:row>
    <x:row r="35" ht="20" customHeight="1">
      <x:c r="A35" s="22" t="str">
        <x:v>2025-03-04</x:v>
      </x:c>
      <x:c r="B35" s="22" t="str">
        <x:v>早班</x:v>
      </x:c>
      <x:c r="C35" s="22" t="str">
        <x:v>L03</x:v>
      </x:c>
      <x:c r="D35" s="22" t="str">
        <x:v>P0070</x:v>
      </x:c>
      <x:c r="E35" s="22" t="str">
        <x:v>Q03</x:v>
      </x:c>
      <x:c r="F35" s="27" t="n">
        <x:v>42000</x:v>
      </x:c>
      <x:c r="G35" s="27" t="n">
        <x:v>42000</x:v>
      </x:c>
      <x:c r="H35" s="28" t="n">
        <x:v>1</x:v>
      </x:c>
      <x:c r="I35" s="29" t="n">
        <x:v>0.6</x:v>
      </x:c>
      <x:c r="J35" s="26" t="n">
        <x:v>0</x:v>
      </x:c>
      <x:c r="K35" s="26" t="n">
        <x:v>0</x:v>
      </x:c>
      <x:c r="L35" s="22" t="str">
        <x:v>标准化剩余率MILP</x:v>
      </x:c>
    </x:row>
    <x:row r="36" ht="20" customHeight="1">
      <x:c r="A36" s="22" t="str">
        <x:v>2025-03-04</x:v>
      </x:c>
      <x:c r="B36" s="22" t="str">
        <x:v>早班</x:v>
      </x:c>
      <x:c r="C36" s="22" t="str">
        <x:v>L04</x:v>
      </x:c>
      <x:c r="D36" s="22" t="str">
        <x:v>P0157</x:v>
      </x:c>
      <x:c r="E36" s="22" t="str">
        <x:v>Q06</x:v>
      </x:c>
      <x:c r="F36" s="27" t="n">
        <x:v>15000</x:v>
      </x:c>
      <x:c r="G36" s="27" t="n">
        <x:v>15000</x:v>
      </x:c>
      <x:c r="H36" s="28" t="n">
        <x:v>1</x:v>
      </x:c>
      <x:c r="I36" s="29" t="n">
        <x:v>1</x:v>
      </x:c>
      <x:c r="J36" s="26" t="n">
        <x:v>1</x:v>
      </x:c>
      <x:c r="K36" s="26" t="n">
        <x:v>0</x:v>
      </x:c>
      <x:c r="L36" s="22" t="str">
        <x:v>标准化剩余率MILP</x:v>
      </x:c>
    </x:row>
    <x:row r="37" ht="20" customHeight="1">
      <x:c r="A37" s="22" t="str">
        <x:v>2025-03-04</x:v>
      </x:c>
      <x:c r="B37" s="22" t="str">
        <x:v>早班</x:v>
      </x:c>
      <x:c r="C37" s="22" t="str">
        <x:v>L05</x:v>
      </x:c>
      <x:c r="D37" s="22" t="str"/>
      <x:c r="E37" s="22" t="str"/>
      <x:c r="F37" s="27" t="n">
        <x:v>0</x:v>
      </x:c>
      <x:c r="G37" s="27" t="n">
        <x:v>0</x:v>
      </x:c>
      <x:c r="H37" s="28" t="n">
        <x:v>0</x:v>
      </x:c>
      <x:c r="I37" s="29" t="n">
        <x:v>0</x:v>
      </x:c>
      <x:c r="J37" s="26" t="n">
        <x:v>0</x:v>
      </x:c>
      <x:c r="K37" s="26" t="n">
        <x:v>0</x:v>
      </x:c>
      <x:c r="L37" s="22" t="str">
        <x:v>标准化剩余率MILP</x:v>
      </x:c>
    </x:row>
    <x:row r="38" ht="20" customHeight="1">
      <x:c r="A38" s="22" t="str">
        <x:v>2025-03-04</x:v>
      </x:c>
      <x:c r="B38" s="22" t="str">
        <x:v>早班</x:v>
      </x:c>
      <x:c r="C38" s="22" t="str">
        <x:v>L06</x:v>
      </x:c>
      <x:c r="D38" s="22" t="str">
        <x:v>P0013</x:v>
      </x:c>
      <x:c r="E38" s="22" t="str">
        <x:v>Q03</x:v>
      </x:c>
      <x:c r="F38" s="27" t="n">
        <x:v>34000</x:v>
      </x:c>
      <x:c r="G38" s="27" t="n">
        <x:v>34000</x:v>
      </x:c>
      <x:c r="H38" s="28" t="n">
        <x:v>1</x:v>
      </x:c>
      <x:c r="I38" s="29" t="n">
        <x:v>0.884614</x:v>
      </x:c>
      <x:c r="J38" s="26" t="n">
        <x:v>0</x:v>
      </x:c>
      <x:c r="K38" s="26" t="n">
        <x:v>0</x:v>
      </x:c>
      <x:c r="L38" s="22" t="str">
        <x:v>标准化剩余率MILP</x:v>
      </x:c>
    </x:row>
    <x:row r="39" ht="20" customHeight="1">
      <x:c r="A39" s="22" t="str">
        <x:v>2025-03-04</x:v>
      </x:c>
      <x:c r="B39" s="22" t="str">
        <x:v>早班</x:v>
      </x:c>
      <x:c r="C39" s="22" t="str">
        <x:v>L07</x:v>
      </x:c>
      <x:c r="D39" s="22" t="str">
        <x:v>P0165</x:v>
      </x:c>
      <x:c r="E39" s="22" t="str">
        <x:v>Q06</x:v>
      </x:c>
      <x:c r="F39" s="27" t="n">
        <x:v>21000</x:v>
      </x:c>
      <x:c r="G39" s="27" t="n">
        <x:v>21000</x:v>
      </x:c>
      <x:c r="H39" s="28" t="n">
        <x:v>1</x:v>
      </x:c>
      <x:c r="I39" s="29" t="n">
        <x:v>1</x:v>
      </x:c>
      <x:c r="J39" s="26" t="n">
        <x:v>0</x:v>
      </x:c>
      <x:c r="K39" s="26" t="n">
        <x:v>0</x:v>
      </x:c>
      <x:c r="L39" s="22" t="str">
        <x:v>标准化剩余率MILP</x:v>
      </x:c>
    </x:row>
    <x:row r="40" ht="20" customHeight="1">
      <x:c r="A40" s="22" t="str">
        <x:v>2025-03-04</x:v>
      </x:c>
      <x:c r="B40" s="22" t="str">
        <x:v>早班</x:v>
      </x:c>
      <x:c r="C40" s="22" t="str">
        <x:v>L08</x:v>
      </x:c>
      <x:c r="D40" s="22" t="str">
        <x:v>P0004</x:v>
      </x:c>
      <x:c r="E40" s="22" t="str">
        <x:v>Q02</x:v>
      </x:c>
      <x:c r="F40" s="27" t="n">
        <x:v>35000</x:v>
      </x:c>
      <x:c r="G40" s="27" t="n">
        <x:v>35000</x:v>
      </x:c>
      <x:c r="H40" s="28" t="n">
        <x:v>1</x:v>
      </x:c>
      <x:c r="I40" s="29" t="n">
        <x:v>1</x:v>
      </x:c>
      <x:c r="J40" s="26" t="n">
        <x:v>0</x:v>
      </x:c>
      <x:c r="K40" s="26" t="n">
        <x:v>0</x:v>
      </x:c>
      <x:c r="L40" s="22" t="str">
        <x:v>标准化剩余率MILP</x:v>
      </x:c>
    </x:row>
    <x:row r="41" ht="20" customHeight="1">
      <x:c r="A41" s="22" t="str">
        <x:v>2025-03-04</x:v>
      </x:c>
      <x:c r="B41" s="22" t="str">
        <x:v>早班</x:v>
      </x:c>
      <x:c r="C41" s="22" t="str">
        <x:v>L09</x:v>
      </x:c>
      <x:c r="D41" s="22" t="str">
        <x:v>P0064</x:v>
      </x:c>
      <x:c r="E41" s="22" t="str">
        <x:v>Q12</x:v>
      </x:c>
      <x:c r="F41" s="27" t="n">
        <x:v>18849</x:v>
      </x:c>
      <x:c r="G41" s="27" t="n">
        <x:v>18849</x:v>
      </x:c>
      <x:c r="H41" s="28" t="n">
        <x:v>1</x:v>
      </x:c>
      <x:c r="I41" s="29" t="n">
        <x:v>0.8</x:v>
      </x:c>
      <x:c r="J41" s="26" t="n">
        <x:v>0</x:v>
      </x:c>
      <x:c r="K41" s="26" t="n">
        <x:v>0</x:v>
      </x:c>
      <x:c r="L41" s="22" t="str">
        <x:v>标准化剩余率MILP</x:v>
      </x:c>
    </x:row>
    <x:row r="42" ht="20" customHeight="1">
      <x:c r="A42" s="22" t="str">
        <x:v>2025-03-04</x:v>
      </x:c>
      <x:c r="B42" s="22" t="str">
        <x:v>早班</x:v>
      </x:c>
      <x:c r="C42" s="22" t="str">
        <x:v>L10</x:v>
      </x:c>
      <x:c r="D42" s="22" t="str">
        <x:v>P0014</x:v>
      </x:c>
      <x:c r="E42" s="22" t="str">
        <x:v>Q03</x:v>
      </x:c>
      <x:c r="F42" s="27" t="n">
        <x:v>110000</x:v>
      </x:c>
      <x:c r="G42" s="27" t="n">
        <x:v>110000</x:v>
      </x:c>
      <x:c r="H42" s="28" t="n">
        <x:v>1</x:v>
      </x:c>
      <x:c r="I42" s="29" t="n">
        <x:v>0.877029</x:v>
      </x:c>
      <x:c r="J42" s="26" t="n">
        <x:v>0</x:v>
      </x:c>
      <x:c r="K42" s="26" t="n">
        <x:v>0</x:v>
      </x:c>
      <x:c r="L42" s="22" t="str">
        <x:v>标准化剩余率MILP</x:v>
      </x:c>
    </x:row>
    <x:row r="43" ht="20" customHeight="1">
      <x:c r="A43" s="22" t="str">
        <x:v>2025-03-04</x:v>
      </x:c>
      <x:c r="B43" s="22" t="str">
        <x:v>早班</x:v>
      </x:c>
      <x:c r="C43" s="22" t="str">
        <x:v>L11</x:v>
      </x:c>
      <x:c r="D43" s="22" t="str">
        <x:v>P0043</x:v>
      </x:c>
      <x:c r="E43" s="22" t="str">
        <x:v>Q04</x:v>
      </x:c>
      <x:c r="F43" s="27" t="n">
        <x:v>35000</x:v>
      </x:c>
      <x:c r="G43" s="27" t="n">
        <x:v>35000</x:v>
      </x:c>
      <x:c r="H43" s="28" t="n">
        <x:v>1</x:v>
      </x:c>
      <x:c r="I43" s="29" t="n">
        <x:v>1</x:v>
      </x:c>
      <x:c r="J43" s="26" t="n">
        <x:v>0</x:v>
      </x:c>
      <x:c r="K43" s="26" t="n">
        <x:v>0</x:v>
      </x:c>
      <x:c r="L43" s="22" t="str">
        <x:v>标准化剩余率MILP</x:v>
      </x:c>
    </x:row>
    <x:row r="44" ht="20" customHeight="1">
      <x:c r="A44" s="22" t="str">
        <x:v>2025-03-04</x:v>
      </x:c>
      <x:c r="B44" s="22" t="str">
        <x:v>早班</x:v>
      </x:c>
      <x:c r="C44" s="22" t="str">
        <x:v>L12</x:v>
      </x:c>
      <x:c r="D44" s="22" t="str">
        <x:v>P0013</x:v>
      </x:c>
      <x:c r="E44" s="22" t="str">
        <x:v>Q03</x:v>
      </x:c>
      <x:c r="F44" s="27" t="n">
        <x:v>35000</x:v>
      </x:c>
      <x:c r="G44" s="27" t="n">
        <x:v>35000</x:v>
      </x:c>
      <x:c r="H44" s="28" t="n">
        <x:v>1</x:v>
      </x:c>
      <x:c r="I44" s="29" t="n">
        <x:v>0.695541</x:v>
      </x:c>
      <x:c r="J44" s="26" t="n">
        <x:v>1</x:v>
      </x:c>
      <x:c r="K44" s="26" t="n">
        <x:v>0</x:v>
      </x:c>
      <x:c r="L44" s="22" t="str">
        <x:v>标准化剩余率MILP</x:v>
      </x:c>
    </x:row>
    <x:row r="45" ht="20" customHeight="1">
      <x:c r="A45" s="22" t="str">
        <x:v>2025-03-04</x:v>
      </x:c>
      <x:c r="B45" s="22" t="str">
        <x:v>早班</x:v>
      </x:c>
      <x:c r="C45" s="22" t="str">
        <x:v>L13</x:v>
      </x:c>
      <x:c r="D45" s="22" t="str">
        <x:v>P0060</x:v>
      </x:c>
      <x:c r="E45" s="22" t="str">
        <x:v>Q09</x:v>
      </x:c>
      <x:c r="F45" s="27" t="n">
        <x:v>13000</x:v>
      </x:c>
      <x:c r="G45" s="27" t="n">
        <x:v>13000</x:v>
      </x:c>
      <x:c r="H45" s="28" t="n">
        <x:v>1</x:v>
      </x:c>
      <x:c r="I45" s="29" t="n">
        <x:v>1</x:v>
      </x:c>
      <x:c r="J45" s="26" t="n">
        <x:v>0</x:v>
      </x:c>
      <x:c r="K45" s="26" t="n">
        <x:v>0</x:v>
      </x:c>
      <x:c r="L45" s="22" t="str">
        <x:v>标准化剩余率MILP</x:v>
      </x:c>
    </x:row>
    <x:row r="46" ht="20" customHeight="1">
      <x:c r="A46" s="22" t="str">
        <x:v>2025-03-04</x:v>
      </x:c>
      <x:c r="B46" s="22" t="str">
        <x:v>早班</x:v>
      </x:c>
      <x:c r="C46" s="22" t="str">
        <x:v>L14</x:v>
      </x:c>
      <x:c r="D46" s="22" t="str">
        <x:v>P0027</x:v>
      </x:c>
      <x:c r="E46" s="22" t="str">
        <x:v>Q03</x:v>
      </x:c>
      <x:c r="F46" s="27" t="n">
        <x:v>5600</x:v>
      </x:c>
      <x:c r="G46" s="27" t="n">
        <x:v>5600</x:v>
      </x:c>
      <x:c r="H46" s="28" t="n">
        <x:v>1</x:v>
      </x:c>
      <x:c r="I46" s="29" t="n">
        <x:v>0.6</x:v>
      </x:c>
      <x:c r="J46" s="26" t="n">
        <x:v>0</x:v>
      </x:c>
      <x:c r="K46" s="26" t="n">
        <x:v>0</x:v>
      </x:c>
      <x:c r="L46" s="22" t="str">
        <x:v>标准化剩余率MILP</x:v>
      </x:c>
    </x:row>
    <x:row r="47" ht="20" customHeight="1">
      <x:c r="A47" s="22" t="str">
        <x:v>2025-03-04</x:v>
      </x:c>
      <x:c r="B47" s="22" t="str">
        <x:v>中班</x:v>
      </x:c>
      <x:c r="C47" s="22" t="str">
        <x:v>L01</x:v>
      </x:c>
      <x:c r="D47" s="22" t="str">
        <x:v>P0017</x:v>
      </x:c>
      <x:c r="E47" s="22" t="str">
        <x:v>Q03</x:v>
      </x:c>
      <x:c r="F47" s="27" t="n">
        <x:v>21151</x:v>
      </x:c>
      <x:c r="G47" s="27" t="n">
        <x:v>21151</x:v>
      </x:c>
      <x:c r="H47" s="28" t="n">
        <x:v>1</x:v>
      </x:c>
      <x:c r="I47" s="29" t="n">
        <x:v>0.8</x:v>
      </x:c>
      <x:c r="J47" s="26" t="n">
        <x:v>0</x:v>
      </x:c>
      <x:c r="K47" s="26" t="n">
        <x:v>0</x:v>
      </x:c>
      <x:c r="L47" s="22" t="str">
        <x:v>标准化剩余率MILP</x:v>
      </x:c>
    </x:row>
    <x:row r="48" ht="20" customHeight="1">
      <x:c r="A48" s="22" t="str">
        <x:v>2025-03-04</x:v>
      </x:c>
      <x:c r="B48" s="22" t="str">
        <x:v>中班</x:v>
      </x:c>
      <x:c r="C48" s="22" t="str">
        <x:v>L02</x:v>
      </x:c>
      <x:c r="D48" s="22" t="str">
        <x:v>P0137</x:v>
      </x:c>
      <x:c r="E48" s="22" t="str">
        <x:v>Q03</x:v>
      </x:c>
      <x:c r="F48" s="27" t="n">
        <x:v>14160</x:v>
      </x:c>
      <x:c r="G48" s="27" t="n">
        <x:v>14160</x:v>
      </x:c>
      <x:c r="H48" s="28" t="n">
        <x:v>1</x:v>
      </x:c>
      <x:c r="I48" s="29" t="n">
        <x:v>1</x:v>
      </x:c>
      <x:c r="J48" s="26" t="n">
        <x:v>1</x:v>
      </x:c>
      <x:c r="K48" s="26" t="n">
        <x:v>0</x:v>
      </x:c>
      <x:c r="L48" s="22" t="str">
        <x:v>标准化剩余率MILP</x:v>
      </x:c>
    </x:row>
    <x:row r="49" ht="20" customHeight="1">
      <x:c r="A49" s="22" t="str">
        <x:v>2025-03-04</x:v>
      </x:c>
      <x:c r="B49" s="22" t="str">
        <x:v>中班</x:v>
      </x:c>
      <x:c r="C49" s="22" t="str">
        <x:v>L03</x:v>
      </x:c>
      <x:c r="D49" s="22" t="str">
        <x:v>P0070</x:v>
      </x:c>
      <x:c r="E49" s="22" t="str">
        <x:v>Q03</x:v>
      </x:c>
      <x:c r="F49" s="27" t="n">
        <x:v>42000</x:v>
      </x:c>
      <x:c r="G49" s="27" t="n">
        <x:v>42000</x:v>
      </x:c>
      <x:c r="H49" s="28" t="n">
        <x:v>1</x:v>
      </x:c>
      <x:c r="I49" s="29" t="n">
        <x:v>0.6</x:v>
      </x:c>
      <x:c r="J49" s="26" t="n">
        <x:v>0</x:v>
      </x:c>
      <x:c r="K49" s="26" t="n">
        <x:v>0</x:v>
      </x:c>
      <x:c r="L49" s="22" t="str">
        <x:v>标准化剩余率MILP</x:v>
      </x:c>
    </x:row>
    <x:row r="50" ht="20" customHeight="1">
      <x:c r="A50" s="22" t="str">
        <x:v>2025-03-04</x:v>
      </x:c>
      <x:c r="B50" s="22" t="str">
        <x:v>中班</x:v>
      </x:c>
      <x:c r="C50" s="22" t="str">
        <x:v>L04</x:v>
      </x:c>
      <x:c r="D50" s="22" t="str">
        <x:v>P0157</x:v>
      </x:c>
      <x:c r="E50" s="22" t="str">
        <x:v>Q06</x:v>
      </x:c>
      <x:c r="F50" s="27" t="n">
        <x:v>15000</x:v>
      </x:c>
      <x:c r="G50" s="27" t="n">
        <x:v>15000</x:v>
      </x:c>
      <x:c r="H50" s="28" t="n">
        <x:v>1</x:v>
      </x:c>
      <x:c r="I50" s="29" t="n">
        <x:v>1</x:v>
      </x:c>
      <x:c r="J50" s="26" t="n">
        <x:v>0</x:v>
      </x:c>
      <x:c r="K50" s="26" t="n">
        <x:v>0</x:v>
      </x:c>
      <x:c r="L50" s="22" t="str">
        <x:v>标准化剩余率MILP</x:v>
      </x:c>
    </x:row>
    <x:row r="51" ht="20" customHeight="1">
      <x:c r="A51" s="22" t="str">
        <x:v>2025-03-04</x:v>
      </x:c>
      <x:c r="B51" s="22" t="str">
        <x:v>中班</x:v>
      </x:c>
      <x:c r="C51" s="22" t="str">
        <x:v>L05</x:v>
      </x:c>
      <x:c r="D51" s="22" t="str"/>
      <x:c r="E51" s="22" t="str"/>
      <x:c r="F51" s="27" t="n">
        <x:v>0</x:v>
      </x:c>
      <x:c r="G51" s="27" t="n">
        <x:v>0</x:v>
      </x:c>
      <x:c r="H51" s="28" t="n">
        <x:v>0</x:v>
      </x:c>
      <x:c r="I51" s="29" t="n">
        <x:v>0</x:v>
      </x:c>
      <x:c r="J51" s="26" t="n">
        <x:v>0</x:v>
      </x:c>
      <x:c r="K51" s="26" t="n">
        <x:v>0</x:v>
      </x:c>
      <x:c r="L51" s="22" t="str">
        <x:v>标准化剩余率MILP</x:v>
      </x:c>
    </x:row>
    <x:row r="52" ht="20" customHeight="1">
      <x:c r="A52" s="22" t="str">
        <x:v>2025-03-04</x:v>
      </x:c>
      <x:c r="B52" s="22" t="str">
        <x:v>中班</x:v>
      </x:c>
      <x:c r="C52" s="22" t="str">
        <x:v>L06</x:v>
      </x:c>
      <x:c r="D52" s="22" t="str">
        <x:v>P0013</x:v>
      </x:c>
      <x:c r="E52" s="22" t="str">
        <x:v>Q03</x:v>
      </x:c>
      <x:c r="F52" s="27" t="n">
        <x:v>34000</x:v>
      </x:c>
      <x:c r="G52" s="27" t="n">
        <x:v>34000</x:v>
      </x:c>
      <x:c r="H52" s="28" t="n">
        <x:v>1</x:v>
      </x:c>
      <x:c r="I52" s="29" t="n">
        <x:v>0.884614</x:v>
      </x:c>
      <x:c r="J52" s="26" t="n">
        <x:v>0</x:v>
      </x:c>
      <x:c r="K52" s="26" t="n">
        <x:v>0</x:v>
      </x:c>
      <x:c r="L52" s="22" t="str">
        <x:v>标准化剩余率MILP</x:v>
      </x:c>
    </x:row>
    <x:row r="53" ht="20" customHeight="1">
      <x:c r="A53" s="22" t="str">
        <x:v>2025-03-04</x:v>
      </x:c>
      <x:c r="B53" s="22" t="str">
        <x:v>中班</x:v>
      </x:c>
      <x:c r="C53" s="22" t="str">
        <x:v>L07</x:v>
      </x:c>
      <x:c r="D53" s="22" t="str">
        <x:v>P0165</x:v>
      </x:c>
      <x:c r="E53" s="22" t="str">
        <x:v>Q06</x:v>
      </x:c>
      <x:c r="F53" s="27" t="n">
        <x:v>21000</x:v>
      </x:c>
      <x:c r="G53" s="27" t="n">
        <x:v>21000</x:v>
      </x:c>
      <x:c r="H53" s="28" t="n">
        <x:v>1</x:v>
      </x:c>
      <x:c r="I53" s="29" t="n">
        <x:v>1</x:v>
      </x:c>
      <x:c r="J53" s="26" t="n">
        <x:v>0</x:v>
      </x:c>
      <x:c r="K53" s="26" t="n">
        <x:v>0</x:v>
      </x:c>
      <x:c r="L53" s="22" t="str">
        <x:v>标准化剩余率MILP</x:v>
      </x:c>
    </x:row>
    <x:row r="54" ht="20" customHeight="1">
      <x:c r="A54" s="22" t="str">
        <x:v>2025-03-04</x:v>
      </x:c>
      <x:c r="B54" s="22" t="str">
        <x:v>中班</x:v>
      </x:c>
      <x:c r="C54" s="22" t="str">
        <x:v>L08</x:v>
      </x:c>
      <x:c r="D54" s="22" t="str">
        <x:v>P0004</x:v>
      </x:c>
      <x:c r="E54" s="22" t="str">
        <x:v>Q02</x:v>
      </x:c>
      <x:c r="F54" s="27" t="n">
        <x:v>35000</x:v>
      </x:c>
      <x:c r="G54" s="27" t="n">
        <x:v>35000</x:v>
      </x:c>
      <x:c r="H54" s="28" t="n">
        <x:v>1</x:v>
      </x:c>
      <x:c r="I54" s="29" t="n">
        <x:v>1</x:v>
      </x:c>
      <x:c r="J54" s="26" t="n">
        <x:v>0</x:v>
      </x:c>
      <x:c r="K54" s="26" t="n">
        <x:v>0</x:v>
      </x:c>
      <x:c r="L54" s="22" t="str">
        <x:v>标准化剩余率MILP</x:v>
      </x:c>
    </x:row>
    <x:row r="55" ht="20" customHeight="1">
      <x:c r="A55" s="22" t="str">
        <x:v>2025-03-04</x:v>
      </x:c>
      <x:c r="B55" s="22" t="str">
        <x:v>中班</x:v>
      </x:c>
      <x:c r="C55" s="22" t="str">
        <x:v>L09</x:v>
      </x:c>
      <x:c r="D55" s="22" t="str">
        <x:v>P0064</x:v>
      </x:c>
      <x:c r="E55" s="22" t="str">
        <x:v>Q12</x:v>
      </x:c>
      <x:c r="F55" s="27" t="n">
        <x:v>18849</x:v>
      </x:c>
      <x:c r="G55" s="27" t="n">
        <x:v>18849</x:v>
      </x:c>
      <x:c r="H55" s="28" t="n">
        <x:v>1</x:v>
      </x:c>
      <x:c r="I55" s="29" t="n">
        <x:v>0.8</x:v>
      </x:c>
      <x:c r="J55" s="26" t="n">
        <x:v>0</x:v>
      </x:c>
      <x:c r="K55" s="26" t="n">
        <x:v>0</x:v>
      </x:c>
      <x:c r="L55" s="22" t="str">
        <x:v>标准化剩余率MILP</x:v>
      </x:c>
    </x:row>
    <x:row r="56" ht="20" customHeight="1">
      <x:c r="A56" s="22" t="str">
        <x:v>2025-03-04</x:v>
      </x:c>
      <x:c r="B56" s="22" t="str">
        <x:v>中班</x:v>
      </x:c>
      <x:c r="C56" s="22" t="str">
        <x:v>L10</x:v>
      </x:c>
      <x:c r="D56" s="22" t="str">
        <x:v>P0014</x:v>
      </x:c>
      <x:c r="E56" s="22" t="str">
        <x:v>Q03</x:v>
      </x:c>
      <x:c r="F56" s="27" t="n">
        <x:v>110000</x:v>
      </x:c>
      <x:c r="G56" s="27" t="n">
        <x:v>110000</x:v>
      </x:c>
      <x:c r="H56" s="28" t="n">
        <x:v>1</x:v>
      </x:c>
      <x:c r="I56" s="29" t="n">
        <x:v>0.877029</x:v>
      </x:c>
      <x:c r="J56" s="26" t="n">
        <x:v>0</x:v>
      </x:c>
      <x:c r="K56" s="26" t="n">
        <x:v>0</x:v>
      </x:c>
      <x:c r="L56" s="22" t="str">
        <x:v>标准化剩余率MILP</x:v>
      </x:c>
    </x:row>
    <x:row r="57" ht="20" customHeight="1">
      <x:c r="A57" s="22" t="str">
        <x:v>2025-03-04</x:v>
      </x:c>
      <x:c r="B57" s="22" t="str">
        <x:v>中班</x:v>
      </x:c>
      <x:c r="C57" s="22" t="str">
        <x:v>L11</x:v>
      </x:c>
      <x:c r="D57" s="22" t="str">
        <x:v>P0043</x:v>
      </x:c>
      <x:c r="E57" s="22" t="str">
        <x:v>Q04</x:v>
      </x:c>
      <x:c r="F57" s="27" t="n">
        <x:v>35000</x:v>
      </x:c>
      <x:c r="G57" s="27" t="n">
        <x:v>35000</x:v>
      </x:c>
      <x:c r="H57" s="28" t="n">
        <x:v>1</x:v>
      </x:c>
      <x:c r="I57" s="29" t="n">
        <x:v>1</x:v>
      </x:c>
      <x:c r="J57" s="26" t="n">
        <x:v>0</x:v>
      </x:c>
      <x:c r="K57" s="26" t="n">
        <x:v>0</x:v>
      </x:c>
      <x:c r="L57" s="22" t="str">
        <x:v>标准化剩余率MILP</x:v>
      </x:c>
    </x:row>
    <x:row r="58" ht="20" customHeight="1">
      <x:c r="A58" s="22" t="str">
        <x:v>2025-03-04</x:v>
      </x:c>
      <x:c r="B58" s="22" t="str">
        <x:v>中班</x:v>
      </x:c>
      <x:c r="C58" s="22" t="str">
        <x:v>L12</x:v>
      </x:c>
      <x:c r="D58" s="22" t="str">
        <x:v>P0013</x:v>
      </x:c>
      <x:c r="E58" s="22" t="str">
        <x:v>Q03</x:v>
      </x:c>
      <x:c r="F58" s="27" t="n">
        <x:v>35000</x:v>
      </x:c>
      <x:c r="G58" s="27" t="n">
        <x:v>35000</x:v>
      </x:c>
      <x:c r="H58" s="28" t="n">
        <x:v>1</x:v>
      </x:c>
      <x:c r="I58" s="29" t="n">
        <x:v>0.695541</x:v>
      </x:c>
      <x:c r="J58" s="26" t="n">
        <x:v>0</x:v>
      </x:c>
      <x:c r="K58" s="26" t="n">
        <x:v>0</x:v>
      </x:c>
      <x:c r="L58" s="22" t="str">
        <x:v>标准化剩余率MILP</x:v>
      </x:c>
    </x:row>
    <x:row r="59" ht="20" customHeight="1">
      <x:c r="A59" s="22" t="str">
        <x:v>2025-03-04</x:v>
      </x:c>
      <x:c r="B59" s="22" t="str">
        <x:v>中班</x:v>
      </x:c>
      <x:c r="C59" s="22" t="str">
        <x:v>L13</x:v>
      </x:c>
      <x:c r="D59" s="22" t="str">
        <x:v>P0060</x:v>
      </x:c>
      <x:c r="E59" s="22" t="str">
        <x:v>Q09</x:v>
      </x:c>
      <x:c r="F59" s="27" t="n">
        <x:v>13000</x:v>
      </x:c>
      <x:c r="G59" s="27" t="n">
        <x:v>13000</x:v>
      </x:c>
      <x:c r="H59" s="28" t="n">
        <x:v>1</x:v>
      </x:c>
      <x:c r="I59" s="29" t="n">
        <x:v>1</x:v>
      </x:c>
      <x:c r="J59" s="26" t="n">
        <x:v>0</x:v>
      </x:c>
      <x:c r="K59" s="26" t="n">
        <x:v>0</x:v>
      </x:c>
      <x:c r="L59" s="22" t="str">
        <x:v>标准化剩余率MILP</x:v>
      </x:c>
    </x:row>
    <x:row r="60" ht="20" customHeight="1">
      <x:c r="A60" s="22" t="str">
        <x:v>2025-03-04</x:v>
      </x:c>
      <x:c r="B60" s="22" t="str">
        <x:v>中班</x:v>
      </x:c>
      <x:c r="C60" s="22" t="str">
        <x:v>L14</x:v>
      </x:c>
      <x:c r="D60" s="22" t="str">
        <x:v>P0027</x:v>
      </x:c>
      <x:c r="E60" s="22" t="str">
        <x:v>Q03</x:v>
      </x:c>
      <x:c r="F60" s="27" t="n">
        <x:v>5600</x:v>
      </x:c>
      <x:c r="G60" s="27" t="n">
        <x:v>5600</x:v>
      </x:c>
      <x:c r="H60" s="28" t="n">
        <x:v>1</x:v>
      </x:c>
      <x:c r="I60" s="29" t="n">
        <x:v>0.6</x:v>
      </x:c>
      <x:c r="J60" s="26" t="n">
        <x:v>0</x:v>
      </x:c>
      <x:c r="K60" s="26" t="n">
        <x:v>0</x:v>
      </x:c>
      <x:c r="L60" s="22" t="str">
        <x:v>标准化剩余率MILP</x:v>
      </x:c>
    </x:row>
    <x:row r="61" ht="20" customHeight="1">
      <x:c r="A61" s="22" t="str">
        <x:v>2025-03-05</x:v>
      </x:c>
      <x:c r="B61" s="22" t="str">
        <x:v>早班</x:v>
      </x:c>
      <x:c r="C61" s="22" t="str">
        <x:v>L01</x:v>
      </x:c>
      <x:c r="D61" s="22" t="str">
        <x:v>P0017</x:v>
      </x:c>
      <x:c r="E61" s="22" t="str">
        <x:v>Q03</x:v>
      </x:c>
      <x:c r="F61" s="27" t="n">
        <x:v>21151</x:v>
      </x:c>
      <x:c r="G61" s="27" t="n">
        <x:v>21151</x:v>
      </x:c>
      <x:c r="H61" s="28" t="n">
        <x:v>1</x:v>
      </x:c>
      <x:c r="I61" s="29" t="n">
        <x:v>0.8</x:v>
      </x:c>
      <x:c r="J61" s="26" t="n">
        <x:v>0</x:v>
      </x:c>
      <x:c r="K61" s="26" t="n">
        <x:v>0</x:v>
      </x:c>
      <x:c r="L61" s="22" t="str">
        <x:v>标准化剩余率MILP</x:v>
      </x:c>
    </x:row>
    <x:row r="62" ht="20" customHeight="1">
      <x:c r="A62" s="22" t="str">
        <x:v>2025-03-05</x:v>
      </x:c>
      <x:c r="B62" s="22" t="str">
        <x:v>早班</x:v>
      </x:c>
      <x:c r="C62" s="22" t="str">
        <x:v>L02</x:v>
      </x:c>
      <x:c r="D62" s="22" t="str">
        <x:v>P0137</x:v>
      </x:c>
      <x:c r="E62" s="22" t="str">
        <x:v>Q03</x:v>
      </x:c>
      <x:c r="F62" s="27" t="n">
        <x:v>14160</x:v>
      </x:c>
      <x:c r="G62" s="27" t="n">
        <x:v>14160</x:v>
      </x:c>
      <x:c r="H62" s="28" t="n">
        <x:v>1</x:v>
      </x:c>
      <x:c r="I62" s="29" t="n">
        <x:v>1</x:v>
      </x:c>
      <x:c r="J62" s="26" t="n">
        <x:v>0</x:v>
      </x:c>
      <x:c r="K62" s="26" t="n">
        <x:v>0</x:v>
      </x:c>
      <x:c r="L62" s="22" t="str">
        <x:v>标准化剩余率MILP</x:v>
      </x:c>
    </x:row>
    <x:row r="63" ht="20" customHeight="1">
      <x:c r="A63" s="22" t="str">
        <x:v>2025-03-05</x:v>
      </x:c>
      <x:c r="B63" s="22" t="str">
        <x:v>早班</x:v>
      </x:c>
      <x:c r="C63" s="22" t="str">
        <x:v>L03</x:v>
      </x:c>
      <x:c r="D63" s="22" t="str">
        <x:v>P0070</x:v>
      </x:c>
      <x:c r="E63" s="22" t="str">
        <x:v>Q03</x:v>
      </x:c>
      <x:c r="F63" s="27" t="n">
        <x:v>42000</x:v>
      </x:c>
      <x:c r="G63" s="27" t="n">
        <x:v>42000</x:v>
      </x:c>
      <x:c r="H63" s="28" t="n">
        <x:v>1</x:v>
      </x:c>
      <x:c r="I63" s="29" t="n">
        <x:v>0.6</x:v>
      </x:c>
      <x:c r="J63" s="26" t="n">
        <x:v>0</x:v>
      </x:c>
      <x:c r="K63" s="26" t="n">
        <x:v>0</x:v>
      </x:c>
      <x:c r="L63" s="22" t="str">
        <x:v>标准化剩余率MILP</x:v>
      </x:c>
    </x:row>
    <x:row r="64" ht="20" customHeight="1">
      <x:c r="A64" s="22" t="str">
        <x:v>2025-03-05</x:v>
      </x:c>
      <x:c r="B64" s="22" t="str">
        <x:v>早班</x:v>
      </x:c>
      <x:c r="C64" s="22" t="str">
        <x:v>L04</x:v>
      </x:c>
      <x:c r="D64" s="22" t="str">
        <x:v>P0157</x:v>
      </x:c>
      <x:c r="E64" s="22" t="str">
        <x:v>Q06</x:v>
      </x:c>
      <x:c r="F64" s="27" t="n">
        <x:v>15000</x:v>
      </x:c>
      <x:c r="G64" s="27" t="n">
        <x:v>15000</x:v>
      </x:c>
      <x:c r="H64" s="28" t="n">
        <x:v>1</x:v>
      </x:c>
      <x:c r="I64" s="29" t="n">
        <x:v>1</x:v>
      </x:c>
      <x:c r="J64" s="26" t="n">
        <x:v>0</x:v>
      </x:c>
      <x:c r="K64" s="26" t="n">
        <x:v>0</x:v>
      </x:c>
      <x:c r="L64" s="22" t="str">
        <x:v>标准化剩余率MILP</x:v>
      </x:c>
    </x:row>
    <x:row r="65" ht="20" customHeight="1">
      <x:c r="A65" s="22" t="str">
        <x:v>2025-03-05</x:v>
      </x:c>
      <x:c r="B65" s="22" t="str">
        <x:v>早班</x:v>
      </x:c>
      <x:c r="C65" s="22" t="str">
        <x:v>L05</x:v>
      </x:c>
      <x:c r="D65" s="22" t="str"/>
      <x:c r="E65" s="22" t="str"/>
      <x:c r="F65" s="27" t="n">
        <x:v>0</x:v>
      </x:c>
      <x:c r="G65" s="27" t="n">
        <x:v>0</x:v>
      </x:c>
      <x:c r="H65" s="28" t="n">
        <x:v>0</x:v>
      </x:c>
      <x:c r="I65" s="29" t="n">
        <x:v>0</x:v>
      </x:c>
      <x:c r="J65" s="26" t="n">
        <x:v>0</x:v>
      </x:c>
      <x:c r="K65" s="26" t="n">
        <x:v>0</x:v>
      </x:c>
      <x:c r="L65" s="22" t="str">
        <x:v>标准化剩余率MILP</x:v>
      </x:c>
    </x:row>
    <x:row r="66" ht="20" customHeight="1">
      <x:c r="A66" s="22" t="str">
        <x:v>2025-03-05</x:v>
      </x:c>
      <x:c r="B66" s="22" t="str">
        <x:v>早班</x:v>
      </x:c>
      <x:c r="C66" s="22" t="str">
        <x:v>L06</x:v>
      </x:c>
      <x:c r="D66" s="22" t="str">
        <x:v>P0013</x:v>
      </x:c>
      <x:c r="E66" s="22" t="str">
        <x:v>Q03</x:v>
      </x:c>
      <x:c r="F66" s="27" t="n">
        <x:v>34000</x:v>
      </x:c>
      <x:c r="G66" s="27" t="n">
        <x:v>34000</x:v>
      </x:c>
      <x:c r="H66" s="28" t="n">
        <x:v>1</x:v>
      </x:c>
      <x:c r="I66" s="29" t="n">
        <x:v>0.884614</x:v>
      </x:c>
      <x:c r="J66" s="26" t="n">
        <x:v>0</x:v>
      </x:c>
      <x:c r="K66" s="26" t="n">
        <x:v>0</x:v>
      </x:c>
      <x:c r="L66" s="22" t="str">
        <x:v>标准化剩余率MILP</x:v>
      </x:c>
    </x:row>
    <x:row r="67" ht="20" customHeight="1">
      <x:c r="A67" s="22" t="str">
        <x:v>2025-03-05</x:v>
      </x:c>
      <x:c r="B67" s="22" t="str">
        <x:v>早班</x:v>
      </x:c>
      <x:c r="C67" s="22" t="str">
        <x:v>L07</x:v>
      </x:c>
      <x:c r="D67" s="22" t="str">
        <x:v>P0138</x:v>
      </x:c>
      <x:c r="E67" s="22" t="str">
        <x:v>Q11</x:v>
      </x:c>
      <x:c r="F67" s="27" t="n">
        <x:v>2655</x:v>
      </x:c>
      <x:c r="G67" s="27" t="n">
        <x:v>2655</x:v>
      </x:c>
      <x:c r="H67" s="28" t="n">
        <x:v>1</x:v>
      </x:c>
      <x:c r="I67" s="29" t="n">
        <x:v>1</x:v>
      </x:c>
      <x:c r="J67" s="26" t="n">
        <x:v>1</x:v>
      </x:c>
      <x:c r="K67" s="26" t="n">
        <x:v>1</x:v>
      </x:c>
      <x:c r="L67" s="22" t="str">
        <x:v>标准化剩余率MILP</x:v>
      </x:c>
    </x:row>
    <x:row r="68" ht="20" customHeight="1">
      <x:c r="A68" s="22" t="str">
        <x:v>2025-03-05</x:v>
      </x:c>
      <x:c r="B68" s="22" t="str">
        <x:v>早班</x:v>
      </x:c>
      <x:c r="C68" s="22" t="str">
        <x:v>L08</x:v>
      </x:c>
      <x:c r="D68" s="22" t="str">
        <x:v>P0004</x:v>
      </x:c>
      <x:c r="E68" s="22" t="str">
        <x:v>Q02</x:v>
      </x:c>
      <x:c r="F68" s="27" t="n">
        <x:v>35000</x:v>
      </x:c>
      <x:c r="G68" s="27" t="n">
        <x:v>35000</x:v>
      </x:c>
      <x:c r="H68" s="28" t="n">
        <x:v>1</x:v>
      </x:c>
      <x:c r="I68" s="29" t="n">
        <x:v>1</x:v>
      </x:c>
      <x:c r="J68" s="26" t="n">
        <x:v>0</x:v>
      </x:c>
      <x:c r="K68" s="26" t="n">
        <x:v>0</x:v>
      </x:c>
      <x:c r="L68" s="22" t="str">
        <x:v>标准化剩余率MILP</x:v>
      </x:c>
    </x:row>
    <x:row r="69" ht="20" customHeight="1">
      <x:c r="A69" s="22" t="str">
        <x:v>2025-03-05</x:v>
      </x:c>
      <x:c r="B69" s="22" t="str">
        <x:v>早班</x:v>
      </x:c>
      <x:c r="C69" s="22" t="str">
        <x:v>L09</x:v>
      </x:c>
      <x:c r="D69" s="22" t="str">
        <x:v>P0064</x:v>
      </x:c>
      <x:c r="E69" s="22" t="str">
        <x:v>Q12</x:v>
      </x:c>
      <x:c r="F69" s="27" t="n">
        <x:v>16057</x:v>
      </x:c>
      <x:c r="G69" s="27" t="n">
        <x:v>18849</x:v>
      </x:c>
      <x:c r="H69" s="28" t="n">
        <x:v>0.851875</x:v>
      </x:c>
      <x:c r="I69" s="29" t="n">
        <x:v>0.8</x:v>
      </x:c>
      <x:c r="J69" s="26" t="n">
        <x:v>0</x:v>
      </x:c>
      <x:c r="K69" s="26" t="n">
        <x:v>0</x:v>
      </x:c>
      <x:c r="L69" s="22" t="str">
        <x:v>标准化剩余率MILP</x:v>
      </x:c>
    </x:row>
    <x:row r="70" ht="20" customHeight="1">
      <x:c r="A70" s="22" t="str">
        <x:v>2025-03-05</x:v>
      </x:c>
      <x:c r="B70" s="22" t="str">
        <x:v>早班</x:v>
      </x:c>
      <x:c r="C70" s="22" t="str">
        <x:v>L10</x:v>
      </x:c>
      <x:c r="D70" s="22" t="str">
        <x:v>P0014</x:v>
      </x:c>
      <x:c r="E70" s="22" t="str">
        <x:v>Q03</x:v>
      </x:c>
      <x:c r="F70" s="27" t="n">
        <x:v>110000</x:v>
      </x:c>
      <x:c r="G70" s="27" t="n">
        <x:v>110000</x:v>
      </x:c>
      <x:c r="H70" s="28" t="n">
        <x:v>1</x:v>
      </x:c>
      <x:c r="I70" s="29" t="n">
        <x:v>0.877029</x:v>
      </x:c>
      <x:c r="J70" s="26" t="n">
        <x:v>0</x:v>
      </x:c>
      <x:c r="K70" s="26" t="n">
        <x:v>0</x:v>
      </x:c>
      <x:c r="L70" s="22" t="str">
        <x:v>标准化剩余率MILP</x:v>
      </x:c>
    </x:row>
    <x:row r="71" ht="20" customHeight="1">
      <x:c r="A71" s="22" t="str">
        <x:v>2025-03-05</x:v>
      </x:c>
      <x:c r="B71" s="22" t="str">
        <x:v>早班</x:v>
      </x:c>
      <x:c r="C71" s="22" t="str">
        <x:v>L11</x:v>
      </x:c>
      <x:c r="D71" s="22" t="str">
        <x:v>P0043</x:v>
      </x:c>
      <x:c r="E71" s="22" t="str">
        <x:v>Q04</x:v>
      </x:c>
      <x:c r="F71" s="27" t="n">
        <x:v>35000</x:v>
      </x:c>
      <x:c r="G71" s="27" t="n">
        <x:v>35000</x:v>
      </x:c>
      <x:c r="H71" s="28" t="n">
        <x:v>1</x:v>
      </x:c>
      <x:c r="I71" s="29" t="n">
        <x:v>1</x:v>
      </x:c>
      <x:c r="J71" s="26" t="n">
        <x:v>0</x:v>
      </x:c>
      <x:c r="K71" s="26" t="n">
        <x:v>0</x:v>
      </x:c>
      <x:c r="L71" s="22" t="str">
        <x:v>标准化剩余率MILP</x:v>
      </x:c>
    </x:row>
    <x:row r="72" ht="20" customHeight="1">
      <x:c r="A72" s="22" t="str">
        <x:v>2025-03-05</x:v>
      </x:c>
      <x:c r="B72" s="22" t="str">
        <x:v>早班</x:v>
      </x:c>
      <x:c r="C72" s="22" t="str">
        <x:v>L12</x:v>
      </x:c>
      <x:c r="D72" s="22" t="str">
        <x:v>P0013</x:v>
      </x:c>
      <x:c r="E72" s="22" t="str">
        <x:v>Q03</x:v>
      </x:c>
      <x:c r="F72" s="27" t="n">
        <x:v>35000</x:v>
      </x:c>
      <x:c r="G72" s="27" t="n">
        <x:v>35000</x:v>
      </x:c>
      <x:c r="H72" s="28" t="n">
        <x:v>1</x:v>
      </x:c>
      <x:c r="I72" s="29" t="n">
        <x:v>0.695541</x:v>
      </x:c>
      <x:c r="J72" s="26" t="n">
        <x:v>0</x:v>
      </x:c>
      <x:c r="K72" s="26" t="n">
        <x:v>0</x:v>
      </x:c>
      <x:c r="L72" s="22" t="str">
        <x:v>标准化剩余率MILP</x:v>
      </x:c>
    </x:row>
    <x:row r="73" ht="20" customHeight="1">
      <x:c r="A73" s="22" t="str">
        <x:v>2025-03-05</x:v>
      </x:c>
      <x:c r="B73" s="22" t="str">
        <x:v>早班</x:v>
      </x:c>
      <x:c r="C73" s="22" t="str">
        <x:v>L13</x:v>
      </x:c>
      <x:c r="D73" s="22" t="str">
        <x:v>P0060</x:v>
      </x:c>
      <x:c r="E73" s="22" t="str">
        <x:v>Q09</x:v>
      </x:c>
      <x:c r="F73" s="27" t="n">
        <x:v>13000</x:v>
      </x:c>
      <x:c r="G73" s="27" t="n">
        <x:v>13000</x:v>
      </x:c>
      <x:c r="H73" s="28" t="n">
        <x:v>1</x:v>
      </x:c>
      <x:c r="I73" s="29" t="n">
        <x:v>1</x:v>
      </x:c>
      <x:c r="J73" s="26" t="n">
        <x:v>0</x:v>
      </x:c>
      <x:c r="K73" s="26" t="n">
        <x:v>0</x:v>
      </x:c>
      <x:c r="L73" s="22" t="str">
        <x:v>标准化剩余率MILP</x:v>
      </x:c>
    </x:row>
    <x:row r="74" ht="20" customHeight="1">
      <x:c r="A74" s="22" t="str">
        <x:v>2025-03-05</x:v>
      </x:c>
      <x:c r="B74" s="22" t="str">
        <x:v>早班</x:v>
      </x:c>
      <x:c r="C74" s="22" t="str">
        <x:v>L14</x:v>
      </x:c>
      <x:c r="D74" s="22" t="str">
        <x:v>P0027</x:v>
      </x:c>
      <x:c r="E74" s="22" t="str">
        <x:v>Q03</x:v>
      </x:c>
      <x:c r="F74" s="27" t="n">
        <x:v>5600</x:v>
      </x:c>
      <x:c r="G74" s="27" t="n">
        <x:v>5600</x:v>
      </x:c>
      <x:c r="H74" s="28" t="n">
        <x:v>1</x:v>
      </x:c>
      <x:c r="I74" s="29" t="n">
        <x:v>0.6</x:v>
      </x:c>
      <x:c r="J74" s="26" t="n">
        <x:v>0</x:v>
      </x:c>
      <x:c r="K74" s="26" t="n">
        <x:v>0</x:v>
      </x:c>
      <x:c r="L74" s="22" t="str">
        <x:v>标准化剩余率MILP</x:v>
      </x:c>
    </x:row>
    <x:row r="75" ht="20" customHeight="1">
      <x:c r="A75" s="22" t="str">
        <x:v>2025-03-05</x:v>
      </x:c>
      <x:c r="B75" s="22" t="str">
        <x:v>中班</x:v>
      </x:c>
      <x:c r="C75" s="22" t="str">
        <x:v>L01</x:v>
      </x:c>
      <x:c r="D75" s="22" t="str">
        <x:v>P0017</x:v>
      </x:c>
      <x:c r="E75" s="22" t="str">
        <x:v>Q03</x:v>
      </x:c>
      <x:c r="F75" s="27" t="n">
        <x:v>21151</x:v>
      </x:c>
      <x:c r="G75" s="27" t="n">
        <x:v>21151</x:v>
      </x:c>
      <x:c r="H75" s="28" t="n">
        <x:v>1</x:v>
      </x:c>
      <x:c r="I75" s="29" t="n">
        <x:v>0.8</x:v>
      </x:c>
      <x:c r="J75" s="26" t="n">
        <x:v>0</x:v>
      </x:c>
      <x:c r="K75" s="26" t="n">
        <x:v>0</x:v>
      </x:c>
      <x:c r="L75" s="22" t="str">
        <x:v>标准化剩余率MILP</x:v>
      </x:c>
    </x:row>
    <x:row r="76" ht="20" customHeight="1">
      <x:c r="A76" s="22" t="str">
        <x:v>2025-03-05</x:v>
      </x:c>
      <x:c r="B76" s="22" t="str">
        <x:v>中班</x:v>
      </x:c>
      <x:c r="C76" s="22" t="str">
        <x:v>L02</x:v>
      </x:c>
      <x:c r="D76" s="22" t="str">
        <x:v>P0135</x:v>
      </x:c>
      <x:c r="E76" s="22" t="str">
        <x:v>Q03</x:v>
      </x:c>
      <x:c r="F76" s="27" t="n">
        <x:v>14160</x:v>
      </x:c>
      <x:c r="G76" s="27" t="n">
        <x:v>14160</x:v>
      </x:c>
      <x:c r="H76" s="28" t="n">
        <x:v>1</x:v>
      </x:c>
      <x:c r="I76" s="29" t="n">
        <x:v>1</x:v>
      </x:c>
      <x:c r="J76" s="26" t="n">
        <x:v>1</x:v>
      </x:c>
      <x:c r="K76" s="26" t="n">
        <x:v>0</x:v>
      </x:c>
      <x:c r="L76" s="22" t="str">
        <x:v>标准化剩余率MILP</x:v>
      </x:c>
    </x:row>
    <x:row r="77" ht="20" customHeight="1">
      <x:c r="A77" s="22" t="str">
        <x:v>2025-03-05</x:v>
      </x:c>
      <x:c r="B77" s="22" t="str">
        <x:v>中班</x:v>
      </x:c>
      <x:c r="C77" s="22" t="str">
        <x:v>L03</x:v>
      </x:c>
      <x:c r="D77" s="22" t="str">
        <x:v>P0070</x:v>
      </x:c>
      <x:c r="E77" s="22" t="str">
        <x:v>Q03</x:v>
      </x:c>
      <x:c r="F77" s="27" t="n">
        <x:v>42000</x:v>
      </x:c>
      <x:c r="G77" s="27" t="n">
        <x:v>42000</x:v>
      </x:c>
      <x:c r="H77" s="28" t="n">
        <x:v>1</x:v>
      </x:c>
      <x:c r="I77" s="29" t="n">
        <x:v>0.6</x:v>
      </x:c>
      <x:c r="J77" s="26" t="n">
        <x:v>0</x:v>
      </x:c>
      <x:c r="K77" s="26" t="n">
        <x:v>0</x:v>
      </x:c>
      <x:c r="L77" s="22" t="str">
        <x:v>标准化剩余率MILP</x:v>
      </x:c>
    </x:row>
    <x:row r="78" ht="20" customHeight="1">
      <x:c r="A78" s="22" t="str">
        <x:v>2025-03-05</x:v>
      </x:c>
      <x:c r="B78" s="22" t="str">
        <x:v>中班</x:v>
      </x:c>
      <x:c r="C78" s="22" t="str">
        <x:v>L04</x:v>
      </x:c>
      <x:c r="D78" s="22" t="str">
        <x:v>P0157</x:v>
      </x:c>
      <x:c r="E78" s="22" t="str">
        <x:v>Q06</x:v>
      </x:c>
      <x:c r="F78" s="27" t="n">
        <x:v>15000</x:v>
      </x:c>
      <x:c r="G78" s="27" t="n">
        <x:v>15000</x:v>
      </x:c>
      <x:c r="H78" s="28" t="n">
        <x:v>1</x:v>
      </x:c>
      <x:c r="I78" s="29" t="n">
        <x:v>1</x:v>
      </x:c>
      <x:c r="J78" s="26" t="n">
        <x:v>0</x:v>
      </x:c>
      <x:c r="K78" s="26" t="n">
        <x:v>0</x:v>
      </x:c>
      <x:c r="L78" s="22" t="str">
        <x:v>标准化剩余率MILP</x:v>
      </x:c>
    </x:row>
    <x:row r="79" ht="20" customHeight="1">
      <x:c r="A79" s="22" t="str">
        <x:v>2025-03-05</x:v>
      </x:c>
      <x:c r="B79" s="22" t="str">
        <x:v>中班</x:v>
      </x:c>
      <x:c r="C79" s="22" t="str">
        <x:v>L05</x:v>
      </x:c>
      <x:c r="D79" s="22" t="str"/>
      <x:c r="E79" s="22" t="str"/>
      <x:c r="F79" s="27" t="n">
        <x:v>0</x:v>
      </x:c>
      <x:c r="G79" s="27" t="n">
        <x:v>0</x:v>
      </x:c>
      <x:c r="H79" s="28" t="n">
        <x:v>0</x:v>
      </x:c>
      <x:c r="I79" s="29" t="n">
        <x:v>0</x:v>
      </x:c>
      <x:c r="J79" s="26" t="n">
        <x:v>0</x:v>
      </x:c>
      <x:c r="K79" s="26" t="n">
        <x:v>0</x:v>
      </x:c>
      <x:c r="L79" s="22" t="str">
        <x:v>标准化剩余率MILP</x:v>
      </x:c>
    </x:row>
    <x:row r="80" ht="20" customHeight="1">
      <x:c r="A80" s="22" t="str">
        <x:v>2025-03-05</x:v>
      </x:c>
      <x:c r="B80" s="22" t="str">
        <x:v>中班</x:v>
      </x:c>
      <x:c r="C80" s="22" t="str">
        <x:v>L06</x:v>
      </x:c>
      <x:c r="D80" s="22" t="str">
        <x:v>P0013</x:v>
      </x:c>
      <x:c r="E80" s="22" t="str">
        <x:v>Q03</x:v>
      </x:c>
      <x:c r="F80" s="27" t="n">
        <x:v>34000</x:v>
      </x:c>
      <x:c r="G80" s="27" t="n">
        <x:v>34000</x:v>
      </x:c>
      <x:c r="H80" s="28" t="n">
        <x:v>1</x:v>
      </x:c>
      <x:c r="I80" s="29" t="n">
        <x:v>0.884614</x:v>
      </x:c>
      <x:c r="J80" s="26" t="n">
        <x:v>0</x:v>
      </x:c>
      <x:c r="K80" s="26" t="n">
        <x:v>0</x:v>
      </x:c>
      <x:c r="L80" s="22" t="str">
        <x:v>标准化剩余率MILP</x:v>
      </x:c>
    </x:row>
    <x:row r="81" ht="20" customHeight="1">
      <x:c r="A81" s="22" t="str">
        <x:v>2025-03-05</x:v>
      </x:c>
      <x:c r="B81" s="22" t="str">
        <x:v>中班</x:v>
      </x:c>
      <x:c r="C81" s="22" t="str">
        <x:v>L07</x:v>
      </x:c>
      <x:c r="D81" s="22" t="str">
        <x:v>P0138</x:v>
      </x:c>
      <x:c r="E81" s="22" t="str">
        <x:v>Q11</x:v>
      </x:c>
      <x:c r="F81" s="27" t="n">
        <x:v>2655</x:v>
      </x:c>
      <x:c r="G81" s="27" t="n">
        <x:v>2655</x:v>
      </x:c>
      <x:c r="H81" s="28" t="n">
        <x:v>1</x:v>
      </x:c>
      <x:c r="I81" s="29" t="n">
        <x:v>1</x:v>
      </x:c>
      <x:c r="J81" s="26" t="n">
        <x:v>0</x:v>
      </x:c>
      <x:c r="K81" s="26" t="n">
        <x:v>0</x:v>
      </x:c>
      <x:c r="L81" s="22" t="str">
        <x:v>标准化剩余率MILP</x:v>
      </x:c>
    </x:row>
    <x:row r="82" ht="20" customHeight="1">
      <x:c r="A82" s="22" t="str">
        <x:v>2025-03-05</x:v>
      </x:c>
      <x:c r="B82" s="22" t="str">
        <x:v>中班</x:v>
      </x:c>
      <x:c r="C82" s="22" t="str">
        <x:v>L08</x:v>
      </x:c>
      <x:c r="D82" s="22" t="str">
        <x:v>P0004</x:v>
      </x:c>
      <x:c r="E82" s="22" t="str">
        <x:v>Q02</x:v>
      </x:c>
      <x:c r="F82" s="27" t="n">
        <x:v>35000</x:v>
      </x:c>
      <x:c r="G82" s="27" t="n">
        <x:v>35000</x:v>
      </x:c>
      <x:c r="H82" s="28" t="n">
        <x:v>1</x:v>
      </x:c>
      <x:c r="I82" s="29" t="n">
        <x:v>1</x:v>
      </x:c>
      <x:c r="J82" s="26" t="n">
        <x:v>0</x:v>
      </x:c>
      <x:c r="K82" s="26" t="n">
        <x:v>0</x:v>
      </x:c>
      <x:c r="L82" s="22" t="str">
        <x:v>标准化剩余率MILP</x:v>
      </x:c>
    </x:row>
    <x:row r="83" ht="20" customHeight="1">
      <x:c r="A83" s="22" t="str">
        <x:v>2025-03-05</x:v>
      </x:c>
      <x:c r="B83" s="22" t="str">
        <x:v>中班</x:v>
      </x:c>
      <x:c r="C83" s="22" t="str">
        <x:v>L09</x:v>
      </x:c>
      <x:c r="D83" s="22" t="str">
        <x:v>P0064</x:v>
      </x:c>
      <x:c r="E83" s="22" t="str">
        <x:v>Q12</x:v>
      </x:c>
      <x:c r="F83" s="27" t="n">
        <x:v>18849</x:v>
      </x:c>
      <x:c r="G83" s="27" t="n">
        <x:v>18849</x:v>
      </x:c>
      <x:c r="H83" s="28" t="n">
        <x:v>1</x:v>
      </x:c>
      <x:c r="I83" s="29" t="n">
        <x:v>0.8</x:v>
      </x:c>
      <x:c r="J83" s="26" t="n">
        <x:v>0</x:v>
      </x:c>
      <x:c r="K83" s="26" t="n">
        <x:v>0</x:v>
      </x:c>
      <x:c r="L83" s="22" t="str">
        <x:v>标准化剩余率MILP</x:v>
      </x:c>
    </x:row>
    <x:row r="84" ht="20" customHeight="1">
      <x:c r="A84" s="22" t="str">
        <x:v>2025-03-05</x:v>
      </x:c>
      <x:c r="B84" s="22" t="str">
        <x:v>中班</x:v>
      </x:c>
      <x:c r="C84" s="22" t="str">
        <x:v>L10</x:v>
      </x:c>
      <x:c r="D84" s="22" t="str">
        <x:v>P0014</x:v>
      </x:c>
      <x:c r="E84" s="22" t="str">
        <x:v>Q03</x:v>
      </x:c>
      <x:c r="F84" s="27" t="n">
        <x:v>110000</x:v>
      </x:c>
      <x:c r="G84" s="27" t="n">
        <x:v>110000</x:v>
      </x:c>
      <x:c r="H84" s="28" t="n">
        <x:v>1</x:v>
      </x:c>
      <x:c r="I84" s="29" t="n">
        <x:v>0.877029</x:v>
      </x:c>
      <x:c r="J84" s="26" t="n">
        <x:v>0</x:v>
      </x:c>
      <x:c r="K84" s="26" t="n">
        <x:v>0</x:v>
      </x:c>
      <x:c r="L84" s="22" t="str">
        <x:v>标准化剩余率MILP</x:v>
      </x:c>
    </x:row>
    <x:row r="85" ht="20" customHeight="1">
      <x:c r="A85" s="22" t="str">
        <x:v>2025-03-05</x:v>
      </x:c>
      <x:c r="B85" s="22" t="str">
        <x:v>中班</x:v>
      </x:c>
      <x:c r="C85" s="22" t="str">
        <x:v>L11</x:v>
      </x:c>
      <x:c r="D85" s="22" t="str">
        <x:v>P0043</x:v>
      </x:c>
      <x:c r="E85" s="22" t="str">
        <x:v>Q04</x:v>
      </x:c>
      <x:c r="F85" s="27" t="n">
        <x:v>35000</x:v>
      </x:c>
      <x:c r="G85" s="27" t="n">
        <x:v>35000</x:v>
      </x:c>
      <x:c r="H85" s="28" t="n">
        <x:v>1</x:v>
      </x:c>
      <x:c r="I85" s="29" t="n">
        <x:v>1</x:v>
      </x:c>
      <x:c r="J85" s="26" t="n">
        <x:v>0</x:v>
      </x:c>
      <x:c r="K85" s="26" t="n">
        <x:v>0</x:v>
      </x:c>
      <x:c r="L85" s="22" t="str">
        <x:v>标准化剩余率MILP</x:v>
      </x:c>
    </x:row>
    <x:row r="86" ht="20" customHeight="1">
      <x:c r="A86" s="22" t="str">
        <x:v>2025-03-05</x:v>
      </x:c>
      <x:c r="B86" s="22" t="str">
        <x:v>中班</x:v>
      </x:c>
      <x:c r="C86" s="22" t="str">
        <x:v>L12</x:v>
      </x:c>
      <x:c r="D86" s="22" t="str">
        <x:v>P0013</x:v>
      </x:c>
      <x:c r="E86" s="22" t="str">
        <x:v>Q03</x:v>
      </x:c>
      <x:c r="F86" s="27" t="n">
        <x:v>35000</x:v>
      </x:c>
      <x:c r="G86" s="27" t="n">
        <x:v>35000</x:v>
      </x:c>
      <x:c r="H86" s="28" t="n">
        <x:v>1</x:v>
      </x:c>
      <x:c r="I86" s="29" t="n">
        <x:v>0.695541</x:v>
      </x:c>
      <x:c r="J86" s="26" t="n">
        <x:v>0</x:v>
      </x:c>
      <x:c r="K86" s="26" t="n">
        <x:v>0</x:v>
      </x:c>
      <x:c r="L86" s="22" t="str">
        <x:v>标准化剩余率MILP</x:v>
      </x:c>
    </x:row>
    <x:row r="87" ht="20" customHeight="1">
      <x:c r="A87" s="22" t="str">
        <x:v>2025-03-05</x:v>
      </x:c>
      <x:c r="B87" s="22" t="str">
        <x:v>中班</x:v>
      </x:c>
      <x:c r="C87" s="22" t="str">
        <x:v>L13</x:v>
      </x:c>
      <x:c r="D87" s="22" t="str">
        <x:v>P0061</x:v>
      </x:c>
      <x:c r="E87" s="22" t="str">
        <x:v>Q10</x:v>
      </x:c>
      <x:c r="F87" s="27" t="n">
        <x:v>13000</x:v>
      </x:c>
      <x:c r="G87" s="27" t="n">
        <x:v>13000</x:v>
      </x:c>
      <x:c r="H87" s="28" t="n">
        <x:v>1</x:v>
      </x:c>
      <x:c r="I87" s="29" t="n">
        <x:v>1</x:v>
      </x:c>
      <x:c r="J87" s="26" t="n">
        <x:v>1</x:v>
      </x:c>
      <x:c r="K87" s="26" t="n">
        <x:v>1</x:v>
      </x:c>
      <x:c r="L87" s="22" t="str">
        <x:v>标准化剩余率MILP</x:v>
      </x:c>
    </x:row>
    <x:row r="88" ht="20" customHeight="1">
      <x:c r="A88" s="22" t="str">
        <x:v>2025-03-05</x:v>
      </x:c>
      <x:c r="B88" s="22" t="str">
        <x:v>中班</x:v>
      </x:c>
      <x:c r="C88" s="22" t="str">
        <x:v>L14</x:v>
      </x:c>
      <x:c r="D88" s="22" t="str">
        <x:v>P0027</x:v>
      </x:c>
      <x:c r="E88" s="22" t="str">
        <x:v>Q03</x:v>
      </x:c>
      <x:c r="F88" s="27" t="n">
        <x:v>5600</x:v>
      </x:c>
      <x:c r="G88" s="27" t="n">
        <x:v>5600</x:v>
      </x:c>
      <x:c r="H88" s="28" t="n">
        <x:v>1</x:v>
      </x:c>
      <x:c r="I88" s="29" t="n">
        <x:v>0.6</x:v>
      </x:c>
      <x:c r="J88" s="26" t="n">
        <x:v>0</x:v>
      </x:c>
      <x:c r="K88" s="26" t="n">
        <x:v>0</x:v>
      </x:c>
      <x:c r="L88" s="22" t="str">
        <x:v>标准化剩余率MILP</x:v>
      </x:c>
    </x:row>
    <x:row r="89" ht="20" customHeight="1">
      <x:c r="A89" s="22" t="str">
        <x:v>2025-03-06</x:v>
      </x:c>
      <x:c r="B89" s="22" t="str">
        <x:v>早班</x:v>
      </x:c>
      <x:c r="C89" s="22" t="str">
        <x:v>L01</x:v>
      </x:c>
      <x:c r="D89" s="22" t="str">
        <x:v>P0017</x:v>
      </x:c>
      <x:c r="E89" s="22" t="str">
        <x:v>Q03</x:v>
      </x:c>
      <x:c r="F89" s="27" t="n">
        <x:v>21151</x:v>
      </x:c>
      <x:c r="G89" s="27" t="n">
        <x:v>21151</x:v>
      </x:c>
      <x:c r="H89" s="28" t="n">
        <x:v>1</x:v>
      </x:c>
      <x:c r="I89" s="29" t="n">
        <x:v>0.8</x:v>
      </x:c>
      <x:c r="J89" s="26" t="n">
        <x:v>0</x:v>
      </x:c>
      <x:c r="K89" s="26" t="n">
        <x:v>0</x:v>
      </x:c>
      <x:c r="L89" s="22" t="str">
        <x:v>标准化剩余率MILP</x:v>
      </x:c>
    </x:row>
    <x:row r="90" ht="20" customHeight="1">
      <x:c r="A90" s="22" t="str">
        <x:v>2025-03-06</x:v>
      </x:c>
      <x:c r="B90" s="22" t="str">
        <x:v>早班</x:v>
      </x:c>
      <x:c r="C90" s="22" t="str">
        <x:v>L02</x:v>
      </x:c>
      <x:c r="D90" s="22" t="str">
        <x:v>P0135</x:v>
      </x:c>
      <x:c r="E90" s="22" t="str">
        <x:v>Q03</x:v>
      </x:c>
      <x:c r="F90" s="27" t="n">
        <x:v>14160</x:v>
      </x:c>
      <x:c r="G90" s="27" t="n">
        <x:v>14160</x:v>
      </x:c>
      <x:c r="H90" s="28" t="n">
        <x:v>1</x:v>
      </x:c>
      <x:c r="I90" s="29" t="n">
        <x:v>1</x:v>
      </x:c>
      <x:c r="J90" s="26" t="n">
        <x:v>0</x:v>
      </x:c>
      <x:c r="K90" s="26" t="n">
        <x:v>0</x:v>
      </x:c>
      <x:c r="L90" s="22" t="str">
        <x:v>标准化剩余率MILP</x:v>
      </x:c>
    </x:row>
    <x:row r="91" ht="20" customHeight="1">
      <x:c r="A91" s="22" t="str">
        <x:v>2025-03-06</x:v>
      </x:c>
      <x:c r="B91" s="22" t="str">
        <x:v>早班</x:v>
      </x:c>
      <x:c r="C91" s="22" t="str">
        <x:v>L03</x:v>
      </x:c>
      <x:c r="D91" s="22" t="str">
        <x:v>P0070</x:v>
      </x:c>
      <x:c r="E91" s="22" t="str">
        <x:v>Q03</x:v>
      </x:c>
      <x:c r="F91" s="27" t="n">
        <x:v>42000</x:v>
      </x:c>
      <x:c r="G91" s="27" t="n">
        <x:v>42000</x:v>
      </x:c>
      <x:c r="H91" s="28" t="n">
        <x:v>1</x:v>
      </x:c>
      <x:c r="I91" s="29" t="n">
        <x:v>0.6</x:v>
      </x:c>
      <x:c r="J91" s="26" t="n">
        <x:v>0</x:v>
      </x:c>
      <x:c r="K91" s="26" t="n">
        <x:v>0</x:v>
      </x:c>
      <x:c r="L91" s="22" t="str">
        <x:v>标准化剩余率MILP</x:v>
      </x:c>
    </x:row>
    <x:row r="92" ht="20" customHeight="1">
      <x:c r="A92" s="22" t="str">
        <x:v>2025-03-06</x:v>
      </x:c>
      <x:c r="B92" s="22" t="str">
        <x:v>早班</x:v>
      </x:c>
      <x:c r="C92" s="22" t="str">
        <x:v>L04</x:v>
      </x:c>
      <x:c r="D92" s="22" t="str">
        <x:v>P0157</x:v>
      </x:c>
      <x:c r="E92" s="22" t="str">
        <x:v>Q06</x:v>
      </x:c>
      <x:c r="F92" s="27" t="n">
        <x:v>15000</x:v>
      </x:c>
      <x:c r="G92" s="27" t="n">
        <x:v>15000</x:v>
      </x:c>
      <x:c r="H92" s="28" t="n">
        <x:v>1</x:v>
      </x:c>
      <x:c r="I92" s="29" t="n">
        <x:v>1</x:v>
      </x:c>
      <x:c r="J92" s="26" t="n">
        <x:v>0</x:v>
      </x:c>
      <x:c r="K92" s="26" t="n">
        <x:v>0</x:v>
      </x:c>
      <x:c r="L92" s="22" t="str">
        <x:v>标准化剩余率MILP</x:v>
      </x:c>
    </x:row>
    <x:row r="93" ht="20" customHeight="1">
      <x:c r="A93" s="22" t="str">
        <x:v>2025-03-06</x:v>
      </x:c>
      <x:c r="B93" s="22" t="str">
        <x:v>早班</x:v>
      </x:c>
      <x:c r="C93" s="22" t="str">
        <x:v>L05</x:v>
      </x:c>
      <x:c r="D93" s="22" t="str"/>
      <x:c r="E93" s="22" t="str"/>
      <x:c r="F93" s="27" t="n">
        <x:v>0</x:v>
      </x:c>
      <x:c r="G93" s="27" t="n">
        <x:v>0</x:v>
      </x:c>
      <x:c r="H93" s="28" t="n">
        <x:v>0</x:v>
      </x:c>
      <x:c r="I93" s="29" t="n">
        <x:v>0</x:v>
      </x:c>
      <x:c r="J93" s="26" t="n">
        <x:v>0</x:v>
      </x:c>
      <x:c r="K93" s="26" t="n">
        <x:v>0</x:v>
      </x:c>
      <x:c r="L93" s="22" t="str">
        <x:v>标准化剩余率MILP</x:v>
      </x:c>
    </x:row>
    <x:row r="94" ht="20" customHeight="1">
      <x:c r="A94" s="22" t="str">
        <x:v>2025-03-06</x:v>
      </x:c>
      <x:c r="B94" s="22" t="str">
        <x:v>早班</x:v>
      </x:c>
      <x:c r="C94" s="22" t="str">
        <x:v>L06</x:v>
      </x:c>
      <x:c r="D94" s="22" t="str">
        <x:v>P0013</x:v>
      </x:c>
      <x:c r="E94" s="22" t="str">
        <x:v>Q03</x:v>
      </x:c>
      <x:c r="F94" s="27" t="n">
        <x:v>34000</x:v>
      </x:c>
      <x:c r="G94" s="27" t="n">
        <x:v>34000</x:v>
      </x:c>
      <x:c r="H94" s="28" t="n">
        <x:v>1</x:v>
      </x:c>
      <x:c r="I94" s="29" t="n">
        <x:v>0.884614</x:v>
      </x:c>
      <x:c r="J94" s="26" t="n">
        <x:v>0</x:v>
      </x:c>
      <x:c r="K94" s="26" t="n">
        <x:v>0</x:v>
      </x:c>
      <x:c r="L94" s="22" t="str">
        <x:v>标准化剩余率MILP</x:v>
      </x:c>
    </x:row>
    <x:row r="95" ht="20" customHeight="1">
      <x:c r="A95" s="22" t="str">
        <x:v>2025-03-06</x:v>
      </x:c>
      <x:c r="B95" s="22" t="str">
        <x:v>早班</x:v>
      </x:c>
      <x:c r="C95" s="22" t="str">
        <x:v>L07</x:v>
      </x:c>
      <x:c r="D95" s="22" t="str">
        <x:v>P0138</x:v>
      </x:c>
      <x:c r="E95" s="22" t="str">
        <x:v>Q11</x:v>
      </x:c>
      <x:c r="F95" s="27" t="n">
        <x:v>2655</x:v>
      </x:c>
      <x:c r="G95" s="27" t="n">
        <x:v>2655</x:v>
      </x:c>
      <x:c r="H95" s="28" t="n">
        <x:v>1</x:v>
      </x:c>
      <x:c r="I95" s="29" t="n">
        <x:v>1</x:v>
      </x:c>
      <x:c r="J95" s="26" t="n">
        <x:v>0</x:v>
      </x:c>
      <x:c r="K95" s="26" t="n">
        <x:v>0</x:v>
      </x:c>
      <x:c r="L95" s="22" t="str">
        <x:v>标准化剩余率MILP</x:v>
      </x:c>
    </x:row>
    <x:row r="96" ht="20" customHeight="1">
      <x:c r="A96" s="22" t="str">
        <x:v>2025-03-06</x:v>
      </x:c>
      <x:c r="B96" s="22" t="str">
        <x:v>早班</x:v>
      </x:c>
      <x:c r="C96" s="22" t="str">
        <x:v>L08</x:v>
      </x:c>
      <x:c r="D96" s="22" t="str">
        <x:v>P0004</x:v>
      </x:c>
      <x:c r="E96" s="22" t="str">
        <x:v>Q02</x:v>
      </x:c>
      <x:c r="F96" s="27" t="n">
        <x:v>35000</x:v>
      </x:c>
      <x:c r="G96" s="27" t="n">
        <x:v>35000</x:v>
      </x:c>
      <x:c r="H96" s="28" t="n">
        <x:v>1</x:v>
      </x:c>
      <x:c r="I96" s="29" t="n">
        <x:v>1</x:v>
      </x:c>
      <x:c r="J96" s="26" t="n">
        <x:v>0</x:v>
      </x:c>
      <x:c r="K96" s="26" t="n">
        <x:v>0</x:v>
      </x:c>
      <x:c r="L96" s="22" t="str">
        <x:v>标准化剩余率MILP</x:v>
      </x:c>
    </x:row>
    <x:row r="97" ht="20" customHeight="1">
      <x:c r="A97" s="22" t="str">
        <x:v>2025-03-06</x:v>
      </x:c>
      <x:c r="B97" s="22" t="str">
        <x:v>早班</x:v>
      </x:c>
      <x:c r="C97" s="22" t="str">
        <x:v>L09</x:v>
      </x:c>
      <x:c r="D97" s="22" t="str">
        <x:v>P0064</x:v>
      </x:c>
      <x:c r="E97" s="22" t="str">
        <x:v>Q12</x:v>
      </x:c>
      <x:c r="F97" s="27" t="n">
        <x:v>18849</x:v>
      </x:c>
      <x:c r="G97" s="27" t="n">
        <x:v>18849</x:v>
      </x:c>
      <x:c r="H97" s="28" t="n">
        <x:v>1</x:v>
      </x:c>
      <x:c r="I97" s="29" t="n">
        <x:v>0.8</x:v>
      </x:c>
      <x:c r="J97" s="26" t="n">
        <x:v>0</x:v>
      </x:c>
      <x:c r="K97" s="26" t="n">
        <x:v>0</x:v>
      </x:c>
      <x:c r="L97" s="22" t="str">
        <x:v>标准化剩余率MILP</x:v>
      </x:c>
    </x:row>
    <x:row r="98" ht="20" customHeight="1">
      <x:c r="A98" s="22" t="str">
        <x:v>2025-03-06</x:v>
      </x:c>
      <x:c r="B98" s="22" t="str">
        <x:v>早班</x:v>
      </x:c>
      <x:c r="C98" s="22" t="str">
        <x:v>L10</x:v>
      </x:c>
      <x:c r="D98" s="22" t="str">
        <x:v>P0014</x:v>
      </x:c>
      <x:c r="E98" s="22" t="str">
        <x:v>Q03</x:v>
      </x:c>
      <x:c r="F98" s="27" t="n">
        <x:v>110000</x:v>
      </x:c>
      <x:c r="G98" s="27" t="n">
        <x:v>110000</x:v>
      </x:c>
      <x:c r="H98" s="28" t="n">
        <x:v>1</x:v>
      </x:c>
      <x:c r="I98" s="29" t="n">
        <x:v>0.877029</x:v>
      </x:c>
      <x:c r="J98" s="26" t="n">
        <x:v>0</x:v>
      </x:c>
      <x:c r="K98" s="26" t="n">
        <x:v>0</x:v>
      </x:c>
      <x:c r="L98" s="22" t="str">
        <x:v>标准化剩余率MILP</x:v>
      </x:c>
    </x:row>
    <x:row r="99" ht="20" customHeight="1">
      <x:c r="A99" s="22" t="str">
        <x:v>2025-03-06</x:v>
      </x:c>
      <x:c r="B99" s="22" t="str">
        <x:v>早班</x:v>
      </x:c>
      <x:c r="C99" s="22" t="str">
        <x:v>L11</x:v>
      </x:c>
      <x:c r="D99" s="22" t="str">
        <x:v>P0043</x:v>
      </x:c>
      <x:c r="E99" s="22" t="str">
        <x:v>Q04</x:v>
      </x:c>
      <x:c r="F99" s="27" t="n">
        <x:v>35000</x:v>
      </x:c>
      <x:c r="G99" s="27" t="n">
        <x:v>35000</x:v>
      </x:c>
      <x:c r="H99" s="28" t="n">
        <x:v>1</x:v>
      </x:c>
      <x:c r="I99" s="29" t="n">
        <x:v>1</x:v>
      </x:c>
      <x:c r="J99" s="26" t="n">
        <x:v>0</x:v>
      </x:c>
      <x:c r="K99" s="26" t="n">
        <x:v>0</x:v>
      </x:c>
      <x:c r="L99" s="22" t="str">
        <x:v>标准化剩余率MILP</x:v>
      </x:c>
    </x:row>
    <x:row r="100" ht="20" customHeight="1">
      <x:c r="A100" s="22" t="str">
        <x:v>2025-03-06</x:v>
      </x:c>
      <x:c r="B100" s="22" t="str">
        <x:v>早班</x:v>
      </x:c>
      <x:c r="C100" s="22" t="str">
        <x:v>L12</x:v>
      </x:c>
      <x:c r="D100" s="22" t="str">
        <x:v>P0013</x:v>
      </x:c>
      <x:c r="E100" s="22" t="str">
        <x:v>Q03</x:v>
      </x:c>
      <x:c r="F100" s="27" t="n">
        <x:v>35000</x:v>
      </x:c>
      <x:c r="G100" s="27" t="n">
        <x:v>35000</x:v>
      </x:c>
      <x:c r="H100" s="28" t="n">
        <x:v>1</x:v>
      </x:c>
      <x:c r="I100" s="29" t="n">
        <x:v>0.695541</x:v>
      </x:c>
      <x:c r="J100" s="26" t="n">
        <x:v>0</x:v>
      </x:c>
      <x:c r="K100" s="26" t="n">
        <x:v>0</x:v>
      </x:c>
      <x:c r="L100" s="22" t="str">
        <x:v>标准化剩余率MILP</x:v>
      </x:c>
    </x:row>
    <x:row r="101" ht="20" customHeight="1">
      <x:c r="A101" s="22" t="str">
        <x:v>2025-03-06</x:v>
      </x:c>
      <x:c r="B101" s="22" t="str">
        <x:v>早班</x:v>
      </x:c>
      <x:c r="C101" s="22" t="str">
        <x:v>L13</x:v>
      </x:c>
      <x:c r="D101" s="22" t="str">
        <x:v>P0061</x:v>
      </x:c>
      <x:c r="E101" s="22" t="str">
        <x:v>Q10</x:v>
      </x:c>
      <x:c r="F101" s="27" t="n">
        <x:v>8924</x:v>
      </x:c>
      <x:c r="G101" s="27" t="n">
        <x:v>13000</x:v>
      </x:c>
      <x:c r="H101" s="28" t="n">
        <x:v>0.686462</x:v>
      </x:c>
      <x:c r="I101" s="29" t="n">
        <x:v>1</x:v>
      </x:c>
      <x:c r="J101" s="26" t="n">
        <x:v>0</x:v>
      </x:c>
      <x:c r="K101" s="26" t="n">
        <x:v>0</x:v>
      </x:c>
      <x:c r="L101" s="22" t="str">
        <x:v>标准化剩余率MILP</x:v>
      </x:c>
    </x:row>
    <x:row r="102" ht="20" customHeight="1">
      <x:c r="A102" s="22" t="str">
        <x:v>2025-03-06</x:v>
      </x:c>
      <x:c r="B102" s="22" t="str">
        <x:v>早班</x:v>
      </x:c>
      <x:c r="C102" s="22" t="str">
        <x:v>L14</x:v>
      </x:c>
      <x:c r="D102" s="22" t="str">
        <x:v>P0027</x:v>
      </x:c>
      <x:c r="E102" s="22" t="str">
        <x:v>Q03</x:v>
      </x:c>
      <x:c r="F102" s="27" t="n">
        <x:v>5600</x:v>
      </x:c>
      <x:c r="G102" s="27" t="n">
        <x:v>5600</x:v>
      </x:c>
      <x:c r="H102" s="28" t="n">
        <x:v>1</x:v>
      </x:c>
      <x:c r="I102" s="29" t="n">
        <x:v>0.6</x:v>
      </x:c>
      <x:c r="J102" s="26" t="n">
        <x:v>0</x:v>
      </x:c>
      <x:c r="K102" s="26" t="n">
        <x:v>0</x:v>
      </x:c>
      <x:c r="L102" s="22" t="str">
        <x:v>标准化剩余率MILP</x:v>
      </x:c>
    </x:row>
    <x:row r="103" ht="20" customHeight="1">
      <x:c r="A103" s="22" t="str">
        <x:v>2025-03-06</x:v>
      </x:c>
      <x:c r="B103" s="22" t="str">
        <x:v>中班</x:v>
      </x:c>
      <x:c r="C103" s="22" t="str">
        <x:v>L01</x:v>
      </x:c>
      <x:c r="D103" s="22" t="str">
        <x:v>P0017</x:v>
      </x:c>
      <x:c r="E103" s="22" t="str">
        <x:v>Q03</x:v>
      </x:c>
      <x:c r="F103" s="27" t="n">
        <x:v>21151</x:v>
      </x:c>
      <x:c r="G103" s="27" t="n">
        <x:v>21151</x:v>
      </x:c>
      <x:c r="H103" s="28" t="n">
        <x:v>1</x:v>
      </x:c>
      <x:c r="I103" s="29" t="n">
        <x:v>0.8</x:v>
      </x:c>
      <x:c r="J103" s="26" t="n">
        <x:v>0</x:v>
      </x:c>
      <x:c r="K103" s="26" t="n">
        <x:v>0</x:v>
      </x:c>
      <x:c r="L103" s="22" t="str">
        <x:v>标准化剩余率MILP</x:v>
      </x:c>
    </x:row>
    <x:row r="104" ht="20" customHeight="1">
      <x:c r="A104" s="22" t="str">
        <x:v>2025-03-06</x:v>
      </x:c>
      <x:c r="B104" s="22" t="str">
        <x:v>中班</x:v>
      </x:c>
      <x:c r="C104" s="22" t="str">
        <x:v>L02</x:v>
      </x:c>
      <x:c r="D104" s="22" t="str">
        <x:v>P0135</x:v>
      </x:c>
      <x:c r="E104" s="22" t="str">
        <x:v>Q03</x:v>
      </x:c>
      <x:c r="F104" s="27" t="n">
        <x:v>14160</x:v>
      </x:c>
      <x:c r="G104" s="27" t="n">
        <x:v>14160</x:v>
      </x:c>
      <x:c r="H104" s="28" t="n">
        <x:v>1</x:v>
      </x:c>
      <x:c r="I104" s="29" t="n">
        <x:v>1</x:v>
      </x:c>
      <x:c r="J104" s="26" t="n">
        <x:v>0</x:v>
      </x:c>
      <x:c r="K104" s="26" t="n">
        <x:v>0</x:v>
      </x:c>
      <x:c r="L104" s="22" t="str">
        <x:v>标准化剩余率MILP</x:v>
      </x:c>
    </x:row>
    <x:row r="105" ht="20" customHeight="1">
      <x:c r="A105" s="22" t="str">
        <x:v>2025-03-06</x:v>
      </x:c>
      <x:c r="B105" s="22" t="str">
        <x:v>中班</x:v>
      </x:c>
      <x:c r="C105" s="22" t="str">
        <x:v>L03</x:v>
      </x:c>
      <x:c r="D105" s="22" t="str">
        <x:v>P0070</x:v>
      </x:c>
      <x:c r="E105" s="22" t="str">
        <x:v>Q03</x:v>
      </x:c>
      <x:c r="F105" s="27" t="n">
        <x:v>42000</x:v>
      </x:c>
      <x:c r="G105" s="27" t="n">
        <x:v>42000</x:v>
      </x:c>
      <x:c r="H105" s="28" t="n">
        <x:v>1</x:v>
      </x:c>
      <x:c r="I105" s="29" t="n">
        <x:v>0.6</x:v>
      </x:c>
      <x:c r="J105" s="26" t="n">
        <x:v>0</x:v>
      </x:c>
      <x:c r="K105" s="26" t="n">
        <x:v>0</x:v>
      </x:c>
      <x:c r="L105" s="22" t="str">
        <x:v>标准化剩余率MILP</x:v>
      </x:c>
    </x:row>
    <x:row r="106" ht="20" customHeight="1">
      <x:c r="A106" s="22" t="str">
        <x:v>2025-03-06</x:v>
      </x:c>
      <x:c r="B106" s="22" t="str">
        <x:v>中班</x:v>
      </x:c>
      <x:c r="C106" s="22" t="str">
        <x:v>L04</x:v>
      </x:c>
      <x:c r="D106" s="22" t="str">
        <x:v>P0157</x:v>
      </x:c>
      <x:c r="E106" s="22" t="str">
        <x:v>Q06</x:v>
      </x:c>
      <x:c r="F106" s="27" t="n">
        <x:v>15000</x:v>
      </x:c>
      <x:c r="G106" s="27" t="n">
        <x:v>15000</x:v>
      </x:c>
      <x:c r="H106" s="28" t="n">
        <x:v>1</x:v>
      </x:c>
      <x:c r="I106" s="29" t="n">
        <x:v>1</x:v>
      </x:c>
      <x:c r="J106" s="26" t="n">
        <x:v>0</x:v>
      </x:c>
      <x:c r="K106" s="26" t="n">
        <x:v>0</x:v>
      </x:c>
      <x:c r="L106" s="22" t="str">
        <x:v>标准化剩余率MILP</x:v>
      </x:c>
    </x:row>
    <x:row r="107" ht="20" customHeight="1">
      <x:c r="A107" s="22" t="str">
        <x:v>2025-03-06</x:v>
      </x:c>
      <x:c r="B107" s="22" t="str">
        <x:v>中班</x:v>
      </x:c>
      <x:c r="C107" s="22" t="str">
        <x:v>L05</x:v>
      </x:c>
      <x:c r="D107" s="22" t="str"/>
      <x:c r="E107" s="22" t="str"/>
      <x:c r="F107" s="27" t="n">
        <x:v>0</x:v>
      </x:c>
      <x:c r="G107" s="27" t="n">
        <x:v>0</x:v>
      </x:c>
      <x:c r="H107" s="28" t="n">
        <x:v>0</x:v>
      </x:c>
      <x:c r="I107" s="29" t="n">
        <x:v>0</x:v>
      </x:c>
      <x:c r="J107" s="26" t="n">
        <x:v>0</x:v>
      </x:c>
      <x:c r="K107" s="26" t="n">
        <x:v>0</x:v>
      </x:c>
      <x:c r="L107" s="22" t="str">
        <x:v>标准化剩余率MILP</x:v>
      </x:c>
    </x:row>
    <x:row r="108" ht="20" customHeight="1">
      <x:c r="A108" s="22" t="str">
        <x:v>2025-03-06</x:v>
      </x:c>
      <x:c r="B108" s="22" t="str">
        <x:v>中班</x:v>
      </x:c>
      <x:c r="C108" s="22" t="str">
        <x:v>L06</x:v>
      </x:c>
      <x:c r="D108" s="22" t="str">
        <x:v>P0013</x:v>
      </x:c>
      <x:c r="E108" s="22" t="str">
        <x:v>Q03</x:v>
      </x:c>
      <x:c r="F108" s="27" t="n">
        <x:v>34000</x:v>
      </x:c>
      <x:c r="G108" s="27" t="n">
        <x:v>34000</x:v>
      </x:c>
      <x:c r="H108" s="28" t="n">
        <x:v>1</x:v>
      </x:c>
      <x:c r="I108" s="29" t="n">
        <x:v>0.884614</x:v>
      </x:c>
      <x:c r="J108" s="26" t="n">
        <x:v>0</x:v>
      </x:c>
      <x:c r="K108" s="26" t="n">
        <x:v>0</x:v>
      </x:c>
      <x:c r="L108" s="22" t="str">
        <x:v>标准化剩余率MILP</x:v>
      </x:c>
    </x:row>
    <x:row r="109" ht="20" customHeight="1">
      <x:c r="A109" s="22" t="str">
        <x:v>2025-03-06</x:v>
      </x:c>
      <x:c r="B109" s="22" t="str">
        <x:v>中班</x:v>
      </x:c>
      <x:c r="C109" s="22" t="str">
        <x:v>L07</x:v>
      </x:c>
      <x:c r="D109" s="22" t="str">
        <x:v>P0138</x:v>
      </x:c>
      <x:c r="E109" s="22" t="str">
        <x:v>Q11</x:v>
      </x:c>
      <x:c r="F109" s="27" t="n">
        <x:v>2655</x:v>
      </x:c>
      <x:c r="G109" s="27" t="n">
        <x:v>2655</x:v>
      </x:c>
      <x:c r="H109" s="28" t="n">
        <x:v>1</x:v>
      </x:c>
      <x:c r="I109" s="29" t="n">
        <x:v>1</x:v>
      </x:c>
      <x:c r="J109" s="26" t="n">
        <x:v>0</x:v>
      </x:c>
      <x:c r="K109" s="26" t="n">
        <x:v>0</x:v>
      </x:c>
      <x:c r="L109" s="22" t="str">
        <x:v>标准化剩余率MILP</x:v>
      </x:c>
    </x:row>
    <x:row r="110" ht="20" customHeight="1">
      <x:c r="A110" s="22" t="str">
        <x:v>2025-03-06</x:v>
      </x:c>
      <x:c r="B110" s="22" t="str">
        <x:v>中班</x:v>
      </x:c>
      <x:c r="C110" s="22" t="str">
        <x:v>L08</x:v>
      </x:c>
      <x:c r="D110" s="22" t="str">
        <x:v>P0004</x:v>
      </x:c>
      <x:c r="E110" s="22" t="str">
        <x:v>Q02</x:v>
      </x:c>
      <x:c r="F110" s="27" t="n">
        <x:v>35000</x:v>
      </x:c>
      <x:c r="G110" s="27" t="n">
        <x:v>35000</x:v>
      </x:c>
      <x:c r="H110" s="28" t="n">
        <x:v>1</x:v>
      </x:c>
      <x:c r="I110" s="29" t="n">
        <x:v>1</x:v>
      </x:c>
      <x:c r="J110" s="26" t="n">
        <x:v>0</x:v>
      </x:c>
      <x:c r="K110" s="26" t="n">
        <x:v>0</x:v>
      </x:c>
      <x:c r="L110" s="22" t="str">
        <x:v>标准化剩余率MILP</x:v>
      </x:c>
    </x:row>
    <x:row r="111" ht="20" customHeight="1">
      <x:c r="A111" s="22" t="str">
        <x:v>2025-03-06</x:v>
      </x:c>
      <x:c r="B111" s="22" t="str">
        <x:v>中班</x:v>
      </x:c>
      <x:c r="C111" s="22" t="str">
        <x:v>L09</x:v>
      </x:c>
      <x:c r="D111" s="22" t="str">
        <x:v>P0064</x:v>
      </x:c>
      <x:c r="E111" s="22" t="str">
        <x:v>Q12</x:v>
      </x:c>
      <x:c r="F111" s="27" t="n">
        <x:v>18849</x:v>
      </x:c>
      <x:c r="G111" s="27" t="n">
        <x:v>18849</x:v>
      </x:c>
      <x:c r="H111" s="28" t="n">
        <x:v>1</x:v>
      </x:c>
      <x:c r="I111" s="29" t="n">
        <x:v>0.8</x:v>
      </x:c>
      <x:c r="J111" s="26" t="n">
        <x:v>0</x:v>
      </x:c>
      <x:c r="K111" s="26" t="n">
        <x:v>0</x:v>
      </x:c>
      <x:c r="L111" s="22" t="str">
        <x:v>标准化剩余率MILP</x:v>
      </x:c>
    </x:row>
    <x:row r="112" ht="20" customHeight="1">
      <x:c r="A112" s="22" t="str">
        <x:v>2025-03-06</x:v>
      </x:c>
      <x:c r="B112" s="22" t="str">
        <x:v>中班</x:v>
      </x:c>
      <x:c r="C112" s="22" t="str">
        <x:v>L10</x:v>
      </x:c>
      <x:c r="D112" s="22" t="str">
        <x:v>P0014</x:v>
      </x:c>
      <x:c r="E112" s="22" t="str">
        <x:v>Q03</x:v>
      </x:c>
      <x:c r="F112" s="27" t="n">
        <x:v>110000</x:v>
      </x:c>
      <x:c r="G112" s="27" t="n">
        <x:v>110000</x:v>
      </x:c>
      <x:c r="H112" s="28" t="n">
        <x:v>1</x:v>
      </x:c>
      <x:c r="I112" s="29" t="n">
        <x:v>0.877029</x:v>
      </x:c>
      <x:c r="J112" s="26" t="n">
        <x:v>0</x:v>
      </x:c>
      <x:c r="K112" s="26" t="n">
        <x:v>0</x:v>
      </x:c>
      <x:c r="L112" s="22" t="str">
        <x:v>标准化剩余率MILP</x:v>
      </x:c>
    </x:row>
    <x:row r="113" ht="20" customHeight="1">
      <x:c r="A113" s="22" t="str">
        <x:v>2025-03-06</x:v>
      </x:c>
      <x:c r="B113" s="22" t="str">
        <x:v>中班</x:v>
      </x:c>
      <x:c r="C113" s="22" t="str">
        <x:v>L11</x:v>
      </x:c>
      <x:c r="D113" s="22" t="str">
        <x:v>P0043</x:v>
      </x:c>
      <x:c r="E113" s="22" t="str">
        <x:v>Q04</x:v>
      </x:c>
      <x:c r="F113" s="27" t="n">
        <x:v>35000</x:v>
      </x:c>
      <x:c r="G113" s="27" t="n">
        <x:v>35000</x:v>
      </x:c>
      <x:c r="H113" s="28" t="n">
        <x:v>1</x:v>
      </x:c>
      <x:c r="I113" s="29" t="n">
        <x:v>1</x:v>
      </x:c>
      <x:c r="J113" s="26" t="n">
        <x:v>0</x:v>
      </x:c>
      <x:c r="K113" s="26" t="n">
        <x:v>0</x:v>
      </x:c>
      <x:c r="L113" s="22" t="str">
        <x:v>标准化剩余率MILP</x:v>
      </x:c>
    </x:row>
    <x:row r="114" ht="20" customHeight="1">
      <x:c r="A114" s="22" t="str">
        <x:v>2025-03-06</x:v>
      </x:c>
      <x:c r="B114" s="22" t="str">
        <x:v>中班</x:v>
      </x:c>
      <x:c r="C114" s="22" t="str">
        <x:v>L12</x:v>
      </x:c>
      <x:c r="D114" s="22" t="str">
        <x:v>P0013</x:v>
      </x:c>
      <x:c r="E114" s="22" t="str">
        <x:v>Q03</x:v>
      </x:c>
      <x:c r="F114" s="27" t="n">
        <x:v>35000</x:v>
      </x:c>
      <x:c r="G114" s="27" t="n">
        <x:v>35000</x:v>
      </x:c>
      <x:c r="H114" s="28" t="n">
        <x:v>1</x:v>
      </x:c>
      <x:c r="I114" s="29" t="n">
        <x:v>0.695541</x:v>
      </x:c>
      <x:c r="J114" s="26" t="n">
        <x:v>0</x:v>
      </x:c>
      <x:c r="K114" s="26" t="n">
        <x:v>0</x:v>
      </x:c>
      <x:c r="L114" s="22" t="str">
        <x:v>标准化剩余率MILP</x:v>
      </x:c>
    </x:row>
    <x:row r="115" ht="20" customHeight="1">
      <x:c r="A115" s="22" t="str">
        <x:v>2025-03-06</x:v>
      </x:c>
      <x:c r="B115" s="22" t="str">
        <x:v>中班</x:v>
      </x:c>
      <x:c r="C115" s="22" t="str">
        <x:v>L13</x:v>
      </x:c>
      <x:c r="D115" s="22" t="str">
        <x:v>P0059</x:v>
      </x:c>
      <x:c r="E115" s="22" t="str">
        <x:v>Q08</x:v>
      </x:c>
      <x:c r="F115" s="27" t="n">
        <x:v>13500</x:v>
      </x:c>
      <x:c r="G115" s="27" t="n">
        <x:v>13500</x:v>
      </x:c>
      <x:c r="H115" s="28" t="n">
        <x:v>1</x:v>
      </x:c>
      <x:c r="I115" s="29" t="n">
        <x:v>0.8</x:v>
      </x:c>
      <x:c r="J115" s="26" t="n">
        <x:v>1</x:v>
      </x:c>
      <x:c r="K115" s="26" t="n">
        <x:v>1</x:v>
      </x:c>
      <x:c r="L115" s="22" t="str">
        <x:v>标准化剩余率MILP</x:v>
      </x:c>
    </x:row>
    <x:row r="116" ht="20" customHeight="1">
      <x:c r="A116" s="22" t="str">
        <x:v>2025-03-06</x:v>
      </x:c>
      <x:c r="B116" s="22" t="str">
        <x:v>中班</x:v>
      </x:c>
      <x:c r="C116" s="22" t="str">
        <x:v>L14</x:v>
      </x:c>
      <x:c r="D116" s="22" t="str">
        <x:v>P0027</x:v>
      </x:c>
      <x:c r="E116" s="22" t="str">
        <x:v>Q03</x:v>
      </x:c>
      <x:c r="F116" s="27" t="n">
        <x:v>1600</x:v>
      </x:c>
      <x:c r="G116" s="27" t="n">
        <x:v>5600</x:v>
      </x:c>
      <x:c r="H116" s="28" t="n">
        <x:v>0.285714</x:v>
      </x:c>
      <x:c r="I116" s="29" t="n">
        <x:v>0.6</x:v>
      </x:c>
      <x:c r="J116" s="26" t="n">
        <x:v>0</x:v>
      </x:c>
      <x:c r="K116" s="26" t="n">
        <x:v>0</x:v>
      </x:c>
      <x:c r="L116" s="22" t="str">
        <x:v>标准化剩余率MILP</x:v>
      </x:c>
    </x:row>
    <x:row r="117" ht="20" customHeight="1">
      <x:c r="A117" s="22" t="str">
        <x:v>2025-03-07</x:v>
      </x:c>
      <x:c r="B117" s="22" t="str">
        <x:v>早班</x:v>
      </x:c>
      <x:c r="C117" s="22" t="str">
        <x:v>L01</x:v>
      </x:c>
      <x:c r="D117" s="22" t="str">
        <x:v>P0017</x:v>
      </x:c>
      <x:c r="E117" s="22" t="str">
        <x:v>Q03</x:v>
      </x:c>
      <x:c r="F117" s="27" t="n">
        <x:v>21151</x:v>
      </x:c>
      <x:c r="G117" s="27" t="n">
        <x:v>21151</x:v>
      </x:c>
      <x:c r="H117" s="28" t="n">
        <x:v>1</x:v>
      </x:c>
      <x:c r="I117" s="29" t="n">
        <x:v>0.8</x:v>
      </x:c>
      <x:c r="J117" s="26" t="n">
        <x:v>0</x:v>
      </x:c>
      <x:c r="K117" s="26" t="n">
        <x:v>0</x:v>
      </x:c>
      <x:c r="L117" s="22" t="str">
        <x:v>标准化剩余率MILP</x:v>
      </x:c>
    </x:row>
    <x:row r="118" ht="20" customHeight="1">
      <x:c r="A118" s="22" t="str">
        <x:v>2025-03-07</x:v>
      </x:c>
      <x:c r="B118" s="22" t="str">
        <x:v>早班</x:v>
      </x:c>
      <x:c r="C118" s="22" t="str">
        <x:v>L02</x:v>
      </x:c>
      <x:c r="D118" s="22" t="str">
        <x:v>P0134</x:v>
      </x:c>
      <x:c r="E118" s="22" t="str">
        <x:v>Q03</x:v>
      </x:c>
      <x:c r="F118" s="27" t="n">
        <x:v>14160</x:v>
      </x:c>
      <x:c r="G118" s="27" t="n">
        <x:v>14160</x:v>
      </x:c>
      <x:c r="H118" s="28" t="n">
        <x:v>1</x:v>
      </x:c>
      <x:c r="I118" s="29" t="n">
        <x:v>1</x:v>
      </x:c>
      <x:c r="J118" s="26" t="n">
        <x:v>1</x:v>
      </x:c>
      <x:c r="K118" s="26" t="n">
        <x:v>0</x:v>
      </x:c>
      <x:c r="L118" s="22" t="str">
        <x:v>标准化剩余率MILP</x:v>
      </x:c>
    </x:row>
    <x:row r="119" ht="20" customHeight="1">
      <x:c r="A119" s="22" t="str">
        <x:v>2025-03-07</x:v>
      </x:c>
      <x:c r="B119" s="22" t="str">
        <x:v>早班</x:v>
      </x:c>
      <x:c r="C119" s="22" t="str">
        <x:v>L03</x:v>
      </x:c>
      <x:c r="D119" s="22" t="str">
        <x:v>P0070</x:v>
      </x:c>
      <x:c r="E119" s="22" t="str">
        <x:v>Q03</x:v>
      </x:c>
      <x:c r="F119" s="27" t="n">
        <x:v>42000</x:v>
      </x:c>
      <x:c r="G119" s="27" t="n">
        <x:v>42000</x:v>
      </x:c>
      <x:c r="H119" s="28" t="n">
        <x:v>1</x:v>
      </x:c>
      <x:c r="I119" s="29" t="n">
        <x:v>0.6</x:v>
      </x:c>
      <x:c r="J119" s="26" t="n">
        <x:v>0</x:v>
      </x:c>
      <x:c r="K119" s="26" t="n">
        <x:v>0</x:v>
      </x:c>
      <x:c r="L119" s="22" t="str">
        <x:v>标准化剩余率MILP</x:v>
      </x:c>
    </x:row>
    <x:row r="120" ht="20" customHeight="1">
      <x:c r="A120" s="22" t="str">
        <x:v>2025-03-07</x:v>
      </x:c>
      <x:c r="B120" s="22" t="str">
        <x:v>早班</x:v>
      </x:c>
      <x:c r="C120" s="22" t="str">
        <x:v>L04</x:v>
      </x:c>
      <x:c r="D120" s="22" t="str">
        <x:v>P0157</x:v>
      </x:c>
      <x:c r="E120" s="22" t="str">
        <x:v>Q06</x:v>
      </x:c>
      <x:c r="F120" s="27" t="n">
        <x:v>15000</x:v>
      </x:c>
      <x:c r="G120" s="27" t="n">
        <x:v>15000</x:v>
      </x:c>
      <x:c r="H120" s="28" t="n">
        <x:v>1</x:v>
      </x:c>
      <x:c r="I120" s="29" t="n">
        <x:v>1</x:v>
      </x:c>
      <x:c r="J120" s="26" t="n">
        <x:v>0</x:v>
      </x:c>
      <x:c r="K120" s="26" t="n">
        <x:v>0</x:v>
      </x:c>
      <x:c r="L120" s="22" t="str">
        <x:v>标准化剩余率MILP</x:v>
      </x:c>
    </x:row>
    <x:row r="121" ht="20" customHeight="1">
      <x:c r="A121" s="22" t="str">
        <x:v>2025-03-07</x:v>
      </x:c>
      <x:c r="B121" s="22" t="str">
        <x:v>早班</x:v>
      </x:c>
      <x:c r="C121" s="22" t="str">
        <x:v>L05</x:v>
      </x:c>
      <x:c r="D121" s="22" t="str"/>
      <x:c r="E121" s="22" t="str"/>
      <x:c r="F121" s="27" t="n">
        <x:v>0</x:v>
      </x:c>
      <x:c r="G121" s="27" t="n">
        <x:v>0</x:v>
      </x:c>
      <x:c r="H121" s="28" t="n">
        <x:v>0</x:v>
      </x:c>
      <x:c r="I121" s="29" t="n">
        <x:v>0</x:v>
      </x:c>
      <x:c r="J121" s="26" t="n">
        <x:v>0</x:v>
      </x:c>
      <x:c r="K121" s="26" t="n">
        <x:v>0</x:v>
      </x:c>
      <x:c r="L121" s="22" t="str">
        <x:v>标准化剩余率MILP</x:v>
      </x:c>
    </x:row>
    <x:row r="122" ht="20" customHeight="1">
      <x:c r="A122" s="22" t="str">
        <x:v>2025-03-07</x:v>
      </x:c>
      <x:c r="B122" s="22" t="str">
        <x:v>早班</x:v>
      </x:c>
      <x:c r="C122" s="22" t="str">
        <x:v>L06</x:v>
      </x:c>
      <x:c r="D122" s="22" t="str">
        <x:v>P0013</x:v>
      </x:c>
      <x:c r="E122" s="22" t="str">
        <x:v>Q03</x:v>
      </x:c>
      <x:c r="F122" s="27" t="n">
        <x:v>34000</x:v>
      </x:c>
      <x:c r="G122" s="27" t="n">
        <x:v>34000</x:v>
      </x:c>
      <x:c r="H122" s="28" t="n">
        <x:v>1</x:v>
      </x:c>
      <x:c r="I122" s="29" t="n">
        <x:v>0.884614</x:v>
      </x:c>
      <x:c r="J122" s="26" t="n">
        <x:v>0</x:v>
      </x:c>
      <x:c r="K122" s="26" t="n">
        <x:v>0</x:v>
      </x:c>
      <x:c r="L122" s="22" t="str">
        <x:v>标准化剩余率MILP</x:v>
      </x:c>
    </x:row>
    <x:row r="123" ht="20" customHeight="1">
      <x:c r="A123" s="22" t="str">
        <x:v>2025-03-07</x:v>
      </x:c>
      <x:c r="B123" s="22" t="str">
        <x:v>早班</x:v>
      </x:c>
      <x:c r="C123" s="22" t="str">
        <x:v>L07</x:v>
      </x:c>
      <x:c r="D123" s="22" t="str">
        <x:v>P0138</x:v>
      </x:c>
      <x:c r="E123" s="22" t="str">
        <x:v>Q11</x:v>
      </x:c>
      <x:c r="F123" s="27" t="n">
        <x:v>2655</x:v>
      </x:c>
      <x:c r="G123" s="27" t="n">
        <x:v>2655</x:v>
      </x:c>
      <x:c r="H123" s="28" t="n">
        <x:v>1</x:v>
      </x:c>
      <x:c r="I123" s="29" t="n">
        <x:v>1</x:v>
      </x:c>
      <x:c r="J123" s="26" t="n">
        <x:v>0</x:v>
      </x:c>
      <x:c r="K123" s="26" t="n">
        <x:v>0</x:v>
      </x:c>
      <x:c r="L123" s="22" t="str">
        <x:v>标准化剩余率MILP</x:v>
      </x:c>
    </x:row>
    <x:row r="124" ht="20" customHeight="1">
      <x:c r="A124" s="22" t="str">
        <x:v>2025-03-07</x:v>
      </x:c>
      <x:c r="B124" s="22" t="str">
        <x:v>早班</x:v>
      </x:c>
      <x:c r="C124" s="22" t="str">
        <x:v>L08</x:v>
      </x:c>
      <x:c r="D124" s="22" t="str">
        <x:v>P0004</x:v>
      </x:c>
      <x:c r="E124" s="22" t="str">
        <x:v>Q02</x:v>
      </x:c>
      <x:c r="F124" s="27" t="n">
        <x:v>35000</x:v>
      </x:c>
      <x:c r="G124" s="27" t="n">
        <x:v>35000</x:v>
      </x:c>
      <x:c r="H124" s="28" t="n">
        <x:v>1</x:v>
      </x:c>
      <x:c r="I124" s="29" t="n">
        <x:v>1</x:v>
      </x:c>
      <x:c r="J124" s="26" t="n">
        <x:v>0</x:v>
      </x:c>
      <x:c r="K124" s="26" t="n">
        <x:v>0</x:v>
      </x:c>
      <x:c r="L124" s="22" t="str">
        <x:v>标准化剩余率MILP</x:v>
      </x:c>
    </x:row>
    <x:row r="125" ht="20" customHeight="1">
      <x:c r="A125" s="22" t="str">
        <x:v>2025-03-07</x:v>
      </x:c>
      <x:c r="B125" s="22" t="str">
        <x:v>早班</x:v>
      </x:c>
      <x:c r="C125" s="22" t="str">
        <x:v>L09</x:v>
      </x:c>
      <x:c r="D125" s="22" t="str">
        <x:v>P0011</x:v>
      </x:c>
      <x:c r="E125" s="22" t="str">
        <x:v>Q03</x:v>
      </x:c>
      <x:c r="F125" s="27" t="n">
        <x:v>15000</x:v>
      </x:c>
      <x:c r="G125" s="27" t="n">
        <x:v>15000</x:v>
      </x:c>
      <x:c r="H125" s="28" t="n">
        <x:v>1</x:v>
      </x:c>
      <x:c r="I125" s="29" t="n">
        <x:v>0.6</x:v>
      </x:c>
      <x:c r="J125" s="26" t="n">
        <x:v>1</x:v>
      </x:c>
      <x:c r="K125" s="26" t="n">
        <x:v>1</x:v>
      </x:c>
      <x:c r="L125" s="22" t="str">
        <x:v>标准化剩余率MILP</x:v>
      </x:c>
    </x:row>
    <x:row r="126" ht="20" customHeight="1">
      <x:c r="A126" s="22" t="str">
        <x:v>2025-03-07</x:v>
      </x:c>
      <x:c r="B126" s="22" t="str">
        <x:v>早班</x:v>
      </x:c>
      <x:c r="C126" s="22" t="str">
        <x:v>L10</x:v>
      </x:c>
      <x:c r="D126" s="22" t="str">
        <x:v>P0014</x:v>
      </x:c>
      <x:c r="E126" s="22" t="str">
        <x:v>Q03</x:v>
      </x:c>
      <x:c r="F126" s="27" t="n">
        <x:v>110000</x:v>
      </x:c>
      <x:c r="G126" s="27" t="n">
        <x:v>110000</x:v>
      </x:c>
      <x:c r="H126" s="28" t="n">
        <x:v>1</x:v>
      </x:c>
      <x:c r="I126" s="29" t="n">
        <x:v>0.877029</x:v>
      </x:c>
      <x:c r="J126" s="26" t="n">
        <x:v>0</x:v>
      </x:c>
      <x:c r="K126" s="26" t="n">
        <x:v>0</x:v>
      </x:c>
      <x:c r="L126" s="22" t="str">
        <x:v>标准化剩余率MILP</x:v>
      </x:c>
    </x:row>
    <x:row r="127" ht="20" customHeight="1">
      <x:c r="A127" s="22" t="str">
        <x:v>2025-03-07</x:v>
      </x:c>
      <x:c r="B127" s="22" t="str">
        <x:v>早班</x:v>
      </x:c>
      <x:c r="C127" s="22" t="str">
        <x:v>L11</x:v>
      </x:c>
      <x:c r="D127" s="22" t="str">
        <x:v>P0043</x:v>
      </x:c>
      <x:c r="E127" s="22" t="str">
        <x:v>Q04</x:v>
      </x:c>
      <x:c r="F127" s="27" t="n">
        <x:v>35000</x:v>
      </x:c>
      <x:c r="G127" s="27" t="n">
        <x:v>35000</x:v>
      </x:c>
      <x:c r="H127" s="28" t="n">
        <x:v>1</x:v>
      </x:c>
      <x:c r="I127" s="29" t="n">
        <x:v>1</x:v>
      </x:c>
      <x:c r="J127" s="26" t="n">
        <x:v>0</x:v>
      </x:c>
      <x:c r="K127" s="26" t="n">
        <x:v>0</x:v>
      </x:c>
      <x:c r="L127" s="22" t="str">
        <x:v>标准化剩余率MILP</x:v>
      </x:c>
    </x:row>
    <x:row r="128" ht="20" customHeight="1">
      <x:c r="A128" s="22" t="str">
        <x:v>2025-03-07</x:v>
      </x:c>
      <x:c r="B128" s="22" t="str">
        <x:v>早班</x:v>
      </x:c>
      <x:c r="C128" s="22" t="str">
        <x:v>L12</x:v>
      </x:c>
      <x:c r="D128" s="22" t="str">
        <x:v>P0013</x:v>
      </x:c>
      <x:c r="E128" s="22" t="str">
        <x:v>Q03</x:v>
      </x:c>
      <x:c r="F128" s="27" t="n">
        <x:v>35000</x:v>
      </x:c>
      <x:c r="G128" s="27" t="n">
        <x:v>35000</x:v>
      </x:c>
      <x:c r="H128" s="28" t="n">
        <x:v>1</x:v>
      </x:c>
      <x:c r="I128" s="29" t="n">
        <x:v>0.695541</x:v>
      </x:c>
      <x:c r="J128" s="26" t="n">
        <x:v>0</x:v>
      </x:c>
      <x:c r="K128" s="26" t="n">
        <x:v>0</x:v>
      </x:c>
      <x:c r="L128" s="22" t="str">
        <x:v>标准化剩余率MILP</x:v>
      </x:c>
    </x:row>
    <x:row r="129" ht="20" customHeight="1">
      <x:c r="A129" s="22" t="str">
        <x:v>2025-03-07</x:v>
      </x:c>
      <x:c r="B129" s="22" t="str">
        <x:v>早班</x:v>
      </x:c>
      <x:c r="C129" s="22" t="str">
        <x:v>L13</x:v>
      </x:c>
      <x:c r="D129" s="22" t="str">
        <x:v>P0059</x:v>
      </x:c>
      <x:c r="E129" s="22" t="str">
        <x:v>Q08</x:v>
      </x:c>
      <x:c r="F129" s="27" t="n">
        <x:v>13500</x:v>
      </x:c>
      <x:c r="G129" s="27" t="n">
        <x:v>13500</x:v>
      </x:c>
      <x:c r="H129" s="28" t="n">
        <x:v>1</x:v>
      </x:c>
      <x:c r="I129" s="29" t="n">
        <x:v>0.8</x:v>
      </x:c>
      <x:c r="J129" s="26" t="n">
        <x:v>0</x:v>
      </x:c>
      <x:c r="K129" s="26" t="n">
        <x:v>0</x:v>
      </x:c>
      <x:c r="L129" s="22" t="str">
        <x:v>标准化剩余率MILP</x:v>
      </x:c>
    </x:row>
    <x:row r="130" ht="20" customHeight="1">
      <x:c r="A130" s="22" t="str">
        <x:v>2025-03-07</x:v>
      </x:c>
      <x:c r="B130" s="22" t="str">
        <x:v>早班</x:v>
      </x:c>
      <x:c r="C130" s="22" t="str">
        <x:v>L14</x:v>
      </x:c>
      <x:c r="D130" s="22" t="str">
        <x:v>P0027</x:v>
      </x:c>
      <x:c r="E130" s="22" t="str">
        <x:v>Q03</x:v>
      </x:c>
      <x:c r="F130" s="27" t="n">
        <x:v>5600</x:v>
      </x:c>
      <x:c r="G130" s="27" t="n">
        <x:v>5600</x:v>
      </x:c>
      <x:c r="H130" s="28" t="n">
        <x:v>1</x:v>
      </x:c>
      <x:c r="I130" s="29" t="n">
        <x:v>0.6</x:v>
      </x:c>
      <x:c r="J130" s="26" t="n">
        <x:v>0</x:v>
      </x:c>
      <x:c r="K130" s="26" t="n">
        <x:v>0</x:v>
      </x:c>
      <x:c r="L130" s="22" t="str">
        <x:v>标准化剩余率MILP</x:v>
      </x:c>
    </x:row>
    <x:row r="131" ht="20" customHeight="1">
      <x:c r="A131" s="22" t="str">
        <x:v>2025-03-07</x:v>
      </x:c>
      <x:c r="B131" s="22" t="str">
        <x:v>中班</x:v>
      </x:c>
      <x:c r="C131" s="22" t="str">
        <x:v>L01</x:v>
      </x:c>
      <x:c r="D131" s="22" t="str">
        <x:v>P0017</x:v>
      </x:c>
      <x:c r="E131" s="22" t="str">
        <x:v>Q03</x:v>
      </x:c>
      <x:c r="F131" s="27" t="n">
        <x:v>21151</x:v>
      </x:c>
      <x:c r="G131" s="27" t="n">
        <x:v>21151</x:v>
      </x:c>
      <x:c r="H131" s="28" t="n">
        <x:v>1</x:v>
      </x:c>
      <x:c r="I131" s="29" t="n">
        <x:v>0.8</x:v>
      </x:c>
      <x:c r="J131" s="26" t="n">
        <x:v>0</x:v>
      </x:c>
      <x:c r="K131" s="26" t="n">
        <x:v>0</x:v>
      </x:c>
      <x:c r="L131" s="22" t="str">
        <x:v>标准化剩余率MILP</x:v>
      </x:c>
    </x:row>
    <x:row r="132" ht="20" customHeight="1">
      <x:c r="A132" s="22" t="str">
        <x:v>2025-03-07</x:v>
      </x:c>
      <x:c r="B132" s="22" t="str">
        <x:v>中班</x:v>
      </x:c>
      <x:c r="C132" s="22" t="str">
        <x:v>L02</x:v>
      </x:c>
      <x:c r="D132" s="22" t="str">
        <x:v>P0134</x:v>
      </x:c>
      <x:c r="E132" s="22" t="str">
        <x:v>Q03</x:v>
      </x:c>
      <x:c r="F132" s="27" t="n">
        <x:v>14160</x:v>
      </x:c>
      <x:c r="G132" s="27" t="n">
        <x:v>14160</x:v>
      </x:c>
      <x:c r="H132" s="28" t="n">
        <x:v>1</x:v>
      </x:c>
      <x:c r="I132" s="29" t="n">
        <x:v>1</x:v>
      </x:c>
      <x:c r="J132" s="26" t="n">
        <x:v>0</x:v>
      </x:c>
      <x:c r="K132" s="26" t="n">
        <x:v>0</x:v>
      </x:c>
      <x:c r="L132" s="22" t="str">
        <x:v>标准化剩余率MILP</x:v>
      </x:c>
    </x:row>
    <x:row r="133" ht="20" customHeight="1">
      <x:c r="A133" s="22" t="str">
        <x:v>2025-03-07</x:v>
      </x:c>
      <x:c r="B133" s="22" t="str">
        <x:v>中班</x:v>
      </x:c>
      <x:c r="C133" s="22" t="str">
        <x:v>L03</x:v>
      </x:c>
      <x:c r="D133" s="22" t="str">
        <x:v>P0070</x:v>
      </x:c>
      <x:c r="E133" s="22" t="str">
        <x:v>Q03</x:v>
      </x:c>
      <x:c r="F133" s="27" t="n">
        <x:v>42000</x:v>
      </x:c>
      <x:c r="G133" s="27" t="n">
        <x:v>42000</x:v>
      </x:c>
      <x:c r="H133" s="28" t="n">
        <x:v>1</x:v>
      </x:c>
      <x:c r="I133" s="29" t="n">
        <x:v>0.6</x:v>
      </x:c>
      <x:c r="J133" s="26" t="n">
        <x:v>0</x:v>
      </x:c>
      <x:c r="K133" s="26" t="n">
        <x:v>0</x:v>
      </x:c>
      <x:c r="L133" s="22" t="str">
        <x:v>标准化剩余率MILP</x:v>
      </x:c>
    </x:row>
    <x:row r="134" ht="20" customHeight="1">
      <x:c r="A134" s="22" t="str">
        <x:v>2025-03-07</x:v>
      </x:c>
      <x:c r="B134" s="22" t="str">
        <x:v>中班</x:v>
      </x:c>
      <x:c r="C134" s="22" t="str">
        <x:v>L04</x:v>
      </x:c>
      <x:c r="D134" s="22" t="str">
        <x:v>P0157</x:v>
      </x:c>
      <x:c r="E134" s="22" t="str">
        <x:v>Q06</x:v>
      </x:c>
      <x:c r="F134" s="27" t="n">
        <x:v>15000</x:v>
      </x:c>
      <x:c r="G134" s="27" t="n">
        <x:v>15000</x:v>
      </x:c>
      <x:c r="H134" s="28" t="n">
        <x:v>1</x:v>
      </x:c>
      <x:c r="I134" s="29" t="n">
        <x:v>1</x:v>
      </x:c>
      <x:c r="J134" s="26" t="n">
        <x:v>0</x:v>
      </x:c>
      <x:c r="K134" s="26" t="n">
        <x:v>0</x:v>
      </x:c>
      <x:c r="L134" s="22" t="str">
        <x:v>标准化剩余率MILP</x:v>
      </x:c>
    </x:row>
    <x:row r="135" ht="20" customHeight="1">
      <x:c r="A135" s="22" t="str">
        <x:v>2025-03-07</x:v>
      </x:c>
      <x:c r="B135" s="22" t="str">
        <x:v>中班</x:v>
      </x:c>
      <x:c r="C135" s="22" t="str">
        <x:v>L05</x:v>
      </x:c>
      <x:c r="D135" s="22" t="str"/>
      <x:c r="E135" s="22" t="str"/>
      <x:c r="F135" s="27" t="n">
        <x:v>0</x:v>
      </x:c>
      <x:c r="G135" s="27" t="n">
        <x:v>0</x:v>
      </x:c>
      <x:c r="H135" s="28" t="n">
        <x:v>0</x:v>
      </x:c>
      <x:c r="I135" s="29" t="n">
        <x:v>0</x:v>
      </x:c>
      <x:c r="J135" s="26" t="n">
        <x:v>0</x:v>
      </x:c>
      <x:c r="K135" s="26" t="n">
        <x:v>0</x:v>
      </x:c>
      <x:c r="L135" s="22" t="str">
        <x:v>标准化剩余率MILP</x:v>
      </x:c>
    </x:row>
    <x:row r="136" ht="20" customHeight="1">
      <x:c r="A136" s="22" t="str">
        <x:v>2025-03-07</x:v>
      </x:c>
      <x:c r="B136" s="22" t="str">
        <x:v>中班</x:v>
      </x:c>
      <x:c r="C136" s="22" t="str">
        <x:v>L06</x:v>
      </x:c>
      <x:c r="D136" s="22" t="str">
        <x:v>P0013</x:v>
      </x:c>
      <x:c r="E136" s="22" t="str">
        <x:v>Q03</x:v>
      </x:c>
      <x:c r="F136" s="27" t="n">
        <x:v>34000</x:v>
      </x:c>
      <x:c r="G136" s="27" t="n">
        <x:v>34000</x:v>
      </x:c>
      <x:c r="H136" s="28" t="n">
        <x:v>1</x:v>
      </x:c>
      <x:c r="I136" s="29" t="n">
        <x:v>0.884614</x:v>
      </x:c>
      <x:c r="J136" s="26" t="n">
        <x:v>0</x:v>
      </x:c>
      <x:c r="K136" s="26" t="n">
        <x:v>0</x:v>
      </x:c>
      <x:c r="L136" s="22" t="str">
        <x:v>标准化剩余率MILP</x:v>
      </x:c>
    </x:row>
    <x:row r="137" ht="20" customHeight="1">
      <x:c r="A137" s="22" t="str">
        <x:v>2025-03-07</x:v>
      </x:c>
      <x:c r="B137" s="22" t="str">
        <x:v>中班</x:v>
      </x:c>
      <x:c r="C137" s="22" t="str">
        <x:v>L07</x:v>
      </x:c>
      <x:c r="D137" s="22" t="str">
        <x:v>P0138</x:v>
      </x:c>
      <x:c r="E137" s="22" t="str">
        <x:v>Q11</x:v>
      </x:c>
      <x:c r="F137" s="27" t="n">
        <x:v>2655</x:v>
      </x:c>
      <x:c r="G137" s="27" t="n">
        <x:v>2655</x:v>
      </x:c>
      <x:c r="H137" s="28" t="n">
        <x:v>1</x:v>
      </x:c>
      <x:c r="I137" s="29" t="n">
        <x:v>1</x:v>
      </x:c>
      <x:c r="J137" s="26" t="n">
        <x:v>0</x:v>
      </x:c>
      <x:c r="K137" s="26" t="n">
        <x:v>0</x:v>
      </x:c>
      <x:c r="L137" s="22" t="str">
        <x:v>标准化剩余率MILP</x:v>
      </x:c>
    </x:row>
    <x:row r="138" ht="20" customHeight="1">
      <x:c r="A138" s="22" t="str">
        <x:v>2025-03-07</x:v>
      </x:c>
      <x:c r="B138" s="22" t="str">
        <x:v>中班</x:v>
      </x:c>
      <x:c r="C138" s="22" t="str">
        <x:v>L08</x:v>
      </x:c>
      <x:c r="D138" s="22" t="str">
        <x:v>P0004</x:v>
      </x:c>
      <x:c r="E138" s="22" t="str">
        <x:v>Q02</x:v>
      </x:c>
      <x:c r="F138" s="27" t="n">
        <x:v>35000</x:v>
      </x:c>
      <x:c r="G138" s="27" t="n">
        <x:v>35000</x:v>
      </x:c>
      <x:c r="H138" s="28" t="n">
        <x:v>1</x:v>
      </x:c>
      <x:c r="I138" s="29" t="n">
        <x:v>1</x:v>
      </x:c>
      <x:c r="J138" s="26" t="n">
        <x:v>0</x:v>
      </x:c>
      <x:c r="K138" s="26" t="n">
        <x:v>0</x:v>
      </x:c>
      <x:c r="L138" s="22" t="str">
        <x:v>标准化剩余率MILP</x:v>
      </x:c>
    </x:row>
    <x:row r="139" ht="20" customHeight="1">
      <x:c r="A139" s="22" t="str">
        <x:v>2025-03-07</x:v>
      </x:c>
      <x:c r="B139" s="22" t="str">
        <x:v>中班</x:v>
      </x:c>
      <x:c r="C139" s="22" t="str">
        <x:v>L09</x:v>
      </x:c>
      <x:c r="D139" s="22" t="str">
        <x:v>P0011</x:v>
      </x:c>
      <x:c r="E139" s="22" t="str">
        <x:v>Q03</x:v>
      </x:c>
      <x:c r="F139" s="27" t="n">
        <x:v>15000</x:v>
      </x:c>
      <x:c r="G139" s="27" t="n">
        <x:v>15000</x:v>
      </x:c>
      <x:c r="H139" s="28" t="n">
        <x:v>1</x:v>
      </x:c>
      <x:c r="I139" s="29" t="n">
        <x:v>0.6</x:v>
      </x:c>
      <x:c r="J139" s="26" t="n">
        <x:v>0</x:v>
      </x:c>
      <x:c r="K139" s="26" t="n">
        <x:v>0</x:v>
      </x:c>
      <x:c r="L139" s="22" t="str">
        <x:v>标准化剩余率MILP</x:v>
      </x:c>
    </x:row>
    <x:row r="140" ht="20" customHeight="1">
      <x:c r="A140" s="22" t="str">
        <x:v>2025-03-07</x:v>
      </x:c>
      <x:c r="B140" s="22" t="str">
        <x:v>中班</x:v>
      </x:c>
      <x:c r="C140" s="22" t="str">
        <x:v>L10</x:v>
      </x:c>
      <x:c r="D140" s="22" t="str">
        <x:v>P0014</x:v>
      </x:c>
      <x:c r="E140" s="22" t="str">
        <x:v>Q03</x:v>
      </x:c>
      <x:c r="F140" s="27" t="n">
        <x:v>110000</x:v>
      </x:c>
      <x:c r="G140" s="27" t="n">
        <x:v>110000</x:v>
      </x:c>
      <x:c r="H140" s="28" t="n">
        <x:v>1</x:v>
      </x:c>
      <x:c r="I140" s="29" t="n">
        <x:v>0.877029</x:v>
      </x:c>
      <x:c r="J140" s="26" t="n">
        <x:v>0</x:v>
      </x:c>
      <x:c r="K140" s="26" t="n">
        <x:v>0</x:v>
      </x:c>
      <x:c r="L140" s="22" t="str">
        <x:v>标准化剩余率MILP</x:v>
      </x:c>
    </x:row>
    <x:row r="141" ht="20" customHeight="1">
      <x:c r="A141" s="22" t="str">
        <x:v>2025-03-07</x:v>
      </x:c>
      <x:c r="B141" s="22" t="str">
        <x:v>中班</x:v>
      </x:c>
      <x:c r="C141" s="22" t="str">
        <x:v>L11</x:v>
      </x:c>
      <x:c r="D141" s="22" t="str">
        <x:v>P0043</x:v>
      </x:c>
      <x:c r="E141" s="22" t="str">
        <x:v>Q04</x:v>
      </x:c>
      <x:c r="F141" s="27" t="n">
        <x:v>35000</x:v>
      </x:c>
      <x:c r="G141" s="27" t="n">
        <x:v>35000</x:v>
      </x:c>
      <x:c r="H141" s="28" t="n">
        <x:v>1</x:v>
      </x:c>
      <x:c r="I141" s="29" t="n">
        <x:v>1</x:v>
      </x:c>
      <x:c r="J141" s="26" t="n">
        <x:v>0</x:v>
      </x:c>
      <x:c r="K141" s="26" t="n">
        <x:v>0</x:v>
      </x:c>
      <x:c r="L141" s="22" t="str">
        <x:v>标准化剩余率MILP</x:v>
      </x:c>
    </x:row>
    <x:row r="142" ht="20" customHeight="1">
      <x:c r="A142" s="22" t="str">
        <x:v>2025-03-07</x:v>
      </x:c>
      <x:c r="B142" s="22" t="str">
        <x:v>中班</x:v>
      </x:c>
      <x:c r="C142" s="22" t="str">
        <x:v>L12</x:v>
      </x:c>
      <x:c r="D142" s="22" t="str">
        <x:v>P0013</x:v>
      </x:c>
      <x:c r="E142" s="22" t="str">
        <x:v>Q03</x:v>
      </x:c>
      <x:c r="F142" s="27" t="n">
        <x:v>35000</x:v>
      </x:c>
      <x:c r="G142" s="27" t="n">
        <x:v>35000</x:v>
      </x:c>
      <x:c r="H142" s="28" t="n">
        <x:v>1</x:v>
      </x:c>
      <x:c r="I142" s="29" t="n">
        <x:v>0.695541</x:v>
      </x:c>
      <x:c r="J142" s="26" t="n">
        <x:v>0</x:v>
      </x:c>
      <x:c r="K142" s="26" t="n">
        <x:v>0</x:v>
      </x:c>
      <x:c r="L142" s="22" t="str">
        <x:v>标准化剩余率MILP</x:v>
      </x:c>
    </x:row>
    <x:row r="143" ht="20" customHeight="1">
      <x:c r="A143" s="22" t="str">
        <x:v>2025-03-07</x:v>
      </x:c>
      <x:c r="B143" s="22" t="str">
        <x:v>中班</x:v>
      </x:c>
      <x:c r="C143" s="22" t="str">
        <x:v>L13</x:v>
      </x:c>
      <x:c r="D143" s="22" t="str">
        <x:v>P0059</x:v>
      </x:c>
      <x:c r="E143" s="22" t="str">
        <x:v>Q08</x:v>
      </x:c>
      <x:c r="F143" s="27" t="n">
        <x:v>13500</x:v>
      </x:c>
      <x:c r="G143" s="27" t="n">
        <x:v>13500</x:v>
      </x:c>
      <x:c r="H143" s="28" t="n">
        <x:v>1</x:v>
      </x:c>
      <x:c r="I143" s="29" t="n">
        <x:v>0.8</x:v>
      </x:c>
      <x:c r="J143" s="26" t="n">
        <x:v>0</x:v>
      </x:c>
      <x:c r="K143" s="26" t="n">
        <x:v>0</x:v>
      </x:c>
      <x:c r="L143" s="22" t="str">
        <x:v>标准化剩余率MILP</x:v>
      </x:c>
    </x:row>
    <x:row r="144" ht="20" customHeight="1">
      <x:c r="A144" s="22" t="str">
        <x:v>2025-03-07</x:v>
      </x:c>
      <x:c r="B144" s="22" t="str">
        <x:v>中班</x:v>
      </x:c>
      <x:c r="C144" s="22" t="str">
        <x:v>L14</x:v>
      </x:c>
      <x:c r="D144" s="22" t="str">
        <x:v>P0027</x:v>
      </x:c>
      <x:c r="E144" s="22" t="str">
        <x:v>Q03</x:v>
      </x:c>
      <x:c r="F144" s="27" t="n">
        <x:v>5600</x:v>
      </x:c>
      <x:c r="G144" s="27" t="n">
        <x:v>5600</x:v>
      </x:c>
      <x:c r="H144" s="28" t="n">
        <x:v>1</x:v>
      </x:c>
      <x:c r="I144" s="29" t="n">
        <x:v>0.6</x:v>
      </x:c>
      <x:c r="J144" s="26" t="n">
        <x:v>0</x:v>
      </x:c>
      <x:c r="K144" s="26" t="n">
        <x:v>0</x:v>
      </x:c>
      <x:c r="L144" s="22" t="str">
        <x:v>标准化剩余率MILP</x:v>
      </x:c>
    </x:row>
  </x:sheetData>
  <x:mergeCells>
    <x:mergeCell ref="A1:L1"/>
    <x:mergeCell ref="A2:L2"/>
  </x:mergeCells>
  <x:conditionalFormatting sqref="J5:K144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88ac8c95b447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0" customHeight="1">
      <x:c r="A1" s="4" t="str">
        <x:v>公平性对照｜产品需求完成情况</x:v>
      </x:c>
      <x:c r="B1" s="4" t="str">
        <x:v>公平性对照｜产品需求完成情况</x:v>
      </x:c>
      <x:c r="C1" s="4" t="str">
        <x:v>公平性对照｜产品需求完成情况</x:v>
      </x:c>
      <x:c r="D1" s="4" t="str">
        <x:v>公平性对照｜产品需求完成情况</x:v>
      </x:c>
      <x:c r="E1" s="4" t="str">
        <x:v>公平性对照｜产品需求完成情况</x:v>
      </x:c>
      <x:c r="F1" s="4" t="str">
        <x:v>公平性对照｜产品需求完成情况</x:v>
      </x:c>
    </x:row>
    <x:row r="2" ht="22" customHeight="1">
      <x:c r="A2" s="8" t="str">
        <x:v>需求、排产量与剩余量均按产品—酒质组合汇总</x:v>
      </x:c>
      <x:c r="B2" s="8" t="str">
        <x:v>需求、排产量与剩余量均按产品—酒质组合汇总</x:v>
      </x:c>
      <x:c r="C2" s="8" t="str">
        <x:v>需求、排产量与剩余量均按产品—酒质组合汇总</x:v>
      </x:c>
      <x:c r="D2" s="8" t="str">
        <x:v>需求、排产量与剩余量均按产品—酒质组合汇总</x:v>
      </x:c>
      <x:c r="E2" s="8" t="str">
        <x:v>需求、排产量与剩余量均按产品—酒质组合汇总</x:v>
      </x:c>
      <x:c r="F2" s="8" t="str">
        <x:v>需求、排产量与剩余量均按产品—酒质组合汇总</x:v>
      </x:c>
    </x:row>
    <x:row r="4" ht="26" customHeight="1">
      <x:c r="A4" s="14" t="str">
        <x:v>﻿产品</x:v>
      </x:c>
      <x:c r="B4" s="14" t="str">
        <x:v>酒质</x:v>
      </x:c>
      <x:c r="C4" s="14" t="str">
        <x:v>需求量</x:v>
      </x:c>
      <x:c r="D4" s="14" t="str">
        <x:v>排产量</x:v>
      </x:c>
      <x:c r="E4" s="14" t="str">
        <x:v>剩余量</x:v>
      </x:c>
      <x:c r="F4" s="14" t="str">
        <x:v>完成率</x:v>
      </x:c>
    </x:row>
    <x:row r="5" ht="20" customHeight="1">
      <x:c r="A5" s="17" t="str">
        <x:v>P0159</x:v>
      </x:c>
      <x:c r="B5" s="17" t="str">
        <x:v>Q03</x:v>
      </x:c>
      <x:c r="C5" s="27" t="n">
        <x:v>703856</x:v>
      </x:c>
      <x:c r="D5" s="27" t="n">
        <x:v>0</x:v>
      </x:c>
      <x:c r="E5" s="27" t="n">
        <x:v>703856</x:v>
      </x:c>
      <x:c r="F5" s="28" t="n">
        <x:v>0</x:v>
      </x:c>
    </x:row>
    <x:row r="6" ht="20" customHeight="1">
      <x:c r="A6" s="17" t="str">
        <x:v>P0132</x:v>
      </x:c>
      <x:c r="B6" s="17" t="str">
        <x:v>Q03</x:v>
      </x:c>
      <x:c r="C6" s="27" t="n">
        <x:v>42480</x:v>
      </x:c>
      <x:c r="D6" s="27" t="n">
        <x:v>0</x:v>
      </x:c>
      <x:c r="E6" s="27" t="n">
        <x:v>42480</x:v>
      </x:c>
      <x:c r="F6" s="28" t="n">
        <x:v>0</x:v>
      </x:c>
    </x:row>
    <x:row r="7" ht="20" customHeight="1">
      <x:c r="A7" s="17" t="str">
        <x:v>P0133</x:v>
      </x:c>
      <x:c r="B7" s="17" t="str">
        <x:v>Q03</x:v>
      </x:c>
      <x:c r="C7" s="27" t="n">
        <x:v>42480</x:v>
      </x:c>
      <x:c r="D7" s="27" t="n">
        <x:v>0</x:v>
      </x:c>
      <x:c r="E7" s="27" t="n">
        <x:v>42480</x:v>
      </x:c>
      <x:c r="F7" s="28" t="n">
        <x:v>0</x:v>
      </x:c>
    </x:row>
    <x:row r="8" ht="20" customHeight="1">
      <x:c r="A8" s="17" t="str">
        <x:v>P0134</x:v>
      </x:c>
      <x:c r="B8" s="17" t="str">
        <x:v>Q03</x:v>
      </x:c>
      <x:c r="C8" s="27" t="n">
        <x:v>42480</x:v>
      </x:c>
      <x:c r="D8" s="27" t="n">
        <x:v>28320</x:v>
      </x:c>
      <x:c r="E8" s="27" t="n">
        <x:v>14160</x:v>
      </x:c>
      <x:c r="F8" s="28" t="n">
        <x:v>0.6666666666666666</x:v>
      </x:c>
    </x:row>
    <x:row r="9" ht="20" customHeight="1">
      <x:c r="A9" s="17" t="str">
        <x:v>P0135</x:v>
      </x:c>
      <x:c r="B9" s="17" t="str">
        <x:v>Q03</x:v>
      </x:c>
      <x:c r="C9" s="27" t="n">
        <x:v>42480</x:v>
      </x:c>
      <x:c r="D9" s="27" t="n">
        <x:v>42480</x:v>
      </x:c>
      <x:c r="E9" s="27" t="n">
        <x:v>0</x:v>
      </x:c>
      <x:c r="F9" s="28" t="n">
        <x:v>1</x:v>
      </x:c>
    </x:row>
    <x:row r="10" ht="20" customHeight="1">
      <x:c r="A10" s="17" t="str">
        <x:v>P0136</x:v>
      </x:c>
      <x:c r="B10" s="17" t="str">
        <x:v>Q03</x:v>
      </x:c>
      <x:c r="C10" s="27" t="n">
        <x:v>42480</x:v>
      </x:c>
      <x:c r="D10" s="27" t="n">
        <x:v>42480</x:v>
      </x:c>
      <x:c r="E10" s="27" t="n">
        <x:v>0</x:v>
      </x:c>
      <x:c r="F10" s="28" t="n">
        <x:v>1</x:v>
      </x:c>
    </x:row>
    <x:row r="11" ht="20" customHeight="1">
      <x:c r="A11" s="17" t="str">
        <x:v>P0137</x:v>
      </x:c>
      <x:c r="B11" s="17" t="str">
        <x:v>Q03</x:v>
      </x:c>
      <x:c r="C11" s="27" t="n">
        <x:v>42480</x:v>
      </x:c>
      <x:c r="D11" s="27" t="n">
        <x:v>28320</x:v>
      </x:c>
      <x:c r="E11" s="27" t="n">
        <x:v>14160</x:v>
      </x:c>
      <x:c r="F11" s="28" t="n">
        <x:v>0.6666666666666666</x:v>
      </x:c>
    </x:row>
    <x:row r="12" ht="20" customHeight="1">
      <x:c r="A12" s="17" t="str">
        <x:v>P0138</x:v>
      </x:c>
      <x:c r="B12" s="17" t="str">
        <x:v>Q11</x:v>
      </x:c>
      <x:c r="C12" s="27" t="n">
        <x:v>15930</x:v>
      </x:c>
      <x:c r="D12" s="27" t="n">
        <x:v>15930</x:v>
      </x:c>
      <x:c r="E12" s="27" t="n">
        <x:v>0</x:v>
      </x:c>
      <x:c r="F12" s="28" t="n">
        <x:v>1</x:v>
      </x:c>
    </x:row>
    <x:row r="13" ht="20" customHeight="1">
      <x:c r="A13" s="17" t="str">
        <x:v>P0165</x:v>
      </x:c>
      <x:c r="B13" s="17" t="str">
        <x:v>Q06</x:v>
      </x:c>
      <x:c r="C13" s="27" t="n">
        <x:v>168000</x:v>
      </x:c>
      <x:c r="D13" s="27" t="n">
        <x:v>84000</x:v>
      </x:c>
      <x:c r="E13" s="27" t="n">
        <x:v>84000</x:v>
      </x:c>
      <x:c r="F13" s="28" t="n">
        <x:v>0.5</x:v>
      </x:c>
    </x:row>
    <x:row r="14" ht="20" customHeight="1">
      <x:c r="A14" s="17" t="str">
        <x:v>P0059</x:v>
      </x:c>
      <x:c r="B14" s="17" t="str">
        <x:v>Q08</x:v>
      </x:c>
      <x:c r="C14" s="27" t="n">
        <x:v>619500</x:v>
      </x:c>
      <x:c r="D14" s="27" t="n">
        <x:v>40500</x:v>
      </x:c>
      <x:c r="E14" s="27" t="n">
        <x:v>579000</x:v>
      </x:c>
      <x:c r="F14" s="28" t="n">
        <x:v>0.06537530266343826</x:v>
      </x:c>
    </x:row>
    <x:row r="15" ht="20" customHeight="1">
      <x:c r="A15" s="17" t="str">
        <x:v>P0060</x:v>
      </x:c>
      <x:c r="B15" s="17" t="str">
        <x:v>Q09</x:v>
      </x:c>
      <x:c r="C15" s="27" t="n">
        <x:v>63720</x:v>
      </x:c>
      <x:c r="D15" s="27" t="n">
        <x:v>63720</x:v>
      </x:c>
      <x:c r="E15" s="27" t="n">
        <x:v>0</x:v>
      </x:c>
      <x:c r="F15" s="28" t="n">
        <x:v>1</x:v>
      </x:c>
    </x:row>
    <x:row r="16" ht="20" customHeight="1">
      <x:c r="A16" s="17" t="str">
        <x:v>P0061</x:v>
      </x:c>
      <x:c r="B16" s="17" t="str">
        <x:v>Q10</x:v>
      </x:c>
      <x:c r="C16" s="27" t="n">
        <x:v>21924</x:v>
      </x:c>
      <x:c r="D16" s="27" t="n">
        <x:v>21924</x:v>
      </x:c>
      <x:c r="E16" s="27" t="n">
        <x:v>0</x:v>
      </x:c>
      <x:c r="F16" s="28" t="n">
        <x:v>1</x:v>
      </x:c>
    </x:row>
    <x:row r="17" ht="20" customHeight="1">
      <x:c r="A17" s="17" t="str">
        <x:v>P0022</x:v>
      </x:c>
      <x:c r="B17" s="17" t="str">
        <x:v>Q11</x:v>
      </x:c>
      <x:c r="C17" s="27" t="n">
        <x:v>864000</x:v>
      </x:c>
      <x:c r="D17" s="27" t="n">
        <x:v>0</x:v>
      </x:c>
      <x:c r="E17" s="27" t="n">
        <x:v>864000</x:v>
      </x:c>
      <x:c r="F17" s="28" t="n">
        <x:v>0</x:v>
      </x:c>
    </x:row>
    <x:row r="18" ht="20" customHeight="1">
      <x:c r="A18" s="17" t="str">
        <x:v>P0157</x:v>
      </x:c>
      <x:c r="B18" s="17" t="str">
        <x:v>Q06</x:v>
      </x:c>
      <x:c r="C18" s="27" t="n">
        <x:v>120000</x:v>
      </x:c>
      <x:c r="D18" s="27" t="n">
        <x:v>120000</x:v>
      </x:c>
      <x:c r="E18" s="27" t="n">
        <x:v>0</x:v>
      </x:c>
      <x:c r="F18" s="28" t="n">
        <x:v>1</x:v>
      </x:c>
    </x:row>
    <x:row r="19" ht="20" customHeight="1">
      <x:c r="A19" s="17" t="str">
        <x:v>P0163</x:v>
      </x:c>
      <x:c r="B19" s="17" t="str">
        <x:v>Q06</x:v>
      </x:c>
      <x:c r="C19" s="27" t="n">
        <x:v>817000</x:v>
      </x:c>
      <x:c r="D19" s="27" t="n">
        <x:v>43000</x:v>
      </x:c>
      <x:c r="E19" s="27" t="n">
        <x:v>774000</x:v>
      </x:c>
      <x:c r="F19" s="28" t="n">
        <x:v>0.05263157894736842</x:v>
      </x:c>
    </x:row>
    <x:row r="20" ht="20" customHeight="1">
      <x:c r="A20" s="17" t="str">
        <x:v>P0064</x:v>
      </x:c>
      <x:c r="B20" s="17" t="str">
        <x:v>Q12</x:v>
      </x:c>
      <x:c r="C20" s="27" t="n">
        <x:v>148000</x:v>
      </x:c>
      <x:c r="D20" s="27" t="n">
        <x:v>148000</x:v>
      </x:c>
      <x:c r="E20" s="27" t="n">
        <x:v>0</x:v>
      </x:c>
      <x:c r="F20" s="28" t="n">
        <x:v>1</x:v>
      </x:c>
    </x:row>
    <x:row r="21" ht="20" customHeight="1">
      <x:c r="A21" s="17" t="str">
        <x:v>P0027</x:v>
      </x:c>
      <x:c r="B21" s="17" t="str">
        <x:v>Q03</x:v>
      </x:c>
      <x:c r="C21" s="27" t="n">
        <x:v>52000</x:v>
      </x:c>
      <x:c r="D21" s="27" t="n">
        <x:v>52000</x:v>
      </x:c>
      <x:c r="E21" s="27" t="n">
        <x:v>0</x:v>
      </x:c>
      <x:c r="F21" s="28" t="n">
        <x:v>1</x:v>
      </x:c>
    </x:row>
    <x:row r="22" ht="20" customHeight="1">
      <x:c r="A22" s="17" t="str">
        <x:v>P0025</x:v>
      </x:c>
      <x:c r="B22" s="17" t="str">
        <x:v>Q03</x:v>
      </x:c>
      <x:c r="C22" s="27" t="n">
        <x:v>634000</x:v>
      </x:c>
      <x:c r="D22" s="27" t="n">
        <x:v>0</x:v>
      </x:c>
      <x:c r="E22" s="27" t="n">
        <x:v>634000</x:v>
      </x:c>
      <x:c r="F22" s="28" t="n">
        <x:v>0</x:v>
      </x:c>
    </x:row>
    <x:row r="23" ht="20" customHeight="1">
      <x:c r="A23" s="17" t="str">
        <x:v>P0004</x:v>
      </x:c>
      <x:c r="B23" s="17" t="str">
        <x:v>Q02</x:v>
      </x:c>
      <x:c r="C23" s="27" t="n">
        <x:v>525000</x:v>
      </x:c>
      <x:c r="D23" s="27" t="n">
        <x:v>350000</x:v>
      </x:c>
      <x:c r="E23" s="27" t="n">
        <x:v>175000</x:v>
      </x:c>
      <x:c r="F23" s="28" t="n">
        <x:v>0.6666666666666666</x:v>
      </x:c>
    </x:row>
    <x:row r="24" ht="20" customHeight="1">
      <x:c r="A24" s="17" t="str">
        <x:v>P0070</x:v>
      </x:c>
      <x:c r="B24" s="17" t="str">
        <x:v>Q03</x:v>
      </x:c>
      <x:c r="C24" s="27" t="n">
        <x:v>420000</x:v>
      </x:c>
      <x:c r="D24" s="27" t="n">
        <x:v>420000</x:v>
      </x:c>
      <x:c r="E24" s="27" t="n">
        <x:v>0</x:v>
      </x:c>
      <x:c r="F24" s="28" t="n">
        <x:v>1</x:v>
      </x:c>
    </x:row>
    <x:row r="25" ht="20" customHeight="1">
      <x:c r="A25" s="17" t="str">
        <x:v>P0011</x:v>
      </x:c>
      <x:c r="B25" s="17" t="str">
        <x:v>Q03</x:v>
      </x:c>
      <x:c r="C25" s="27" t="n">
        <x:v>234000</x:v>
      </x:c>
      <x:c r="D25" s="27" t="n">
        <x:v>30000</x:v>
      </x:c>
      <x:c r="E25" s="27" t="n">
        <x:v>204000</x:v>
      </x:c>
      <x:c r="F25" s="28" t="n">
        <x:v>0.1282051282051282</x:v>
      </x:c>
    </x:row>
    <x:row r="26" ht="20" customHeight="1">
      <x:c r="A26" s="17" t="str">
        <x:v>P0017</x:v>
      </x:c>
      <x:c r="B26" s="17" t="str">
        <x:v>Q03</x:v>
      </x:c>
      <x:c r="C26" s="27" t="n">
        <x:v>294000</x:v>
      </x:c>
      <x:c r="D26" s="27" t="n">
        <x:v>211510</x:v>
      </x:c>
      <x:c r="E26" s="27" t="n">
        <x:v>82490</x:v>
      </x:c>
      <x:c r="F26" s="28" t="n">
        <x:v>0.719421768707483</x:v>
      </x:c>
    </x:row>
    <x:row r="27" ht="20" customHeight="1">
      <x:c r="A27" s="17" t="str">
        <x:v>P0016</x:v>
      </x:c>
      <x:c r="B27" s="17" t="str">
        <x:v>Q03</x:v>
      </x:c>
      <x:c r="C27" s="27" t="n">
        <x:v>378000</x:v>
      </x:c>
      <x:c r="D27" s="27" t="n">
        <x:v>0</x:v>
      </x:c>
      <x:c r="E27" s="27" t="n">
        <x:v>378000</x:v>
      </x:c>
      <x:c r="F27" s="28" t="n">
        <x:v>0</x:v>
      </x:c>
    </x:row>
    <x:row r="28" ht="20" customHeight="1">
      <x:c r="A28" s="17" t="str">
        <x:v>P0043</x:v>
      </x:c>
      <x:c r="B28" s="17" t="str">
        <x:v>Q04</x:v>
      </x:c>
      <x:c r="C28" s="27" t="n">
        <x:v>350000</x:v>
      </x:c>
      <x:c r="D28" s="27" t="n">
        <x:v>350000</x:v>
      </x:c>
      <x:c r="E28" s="27" t="n">
        <x:v>0</x:v>
      </x:c>
      <x:c r="F28" s="28" t="n">
        <x:v>1</x:v>
      </x:c>
    </x:row>
    <x:row r="29" ht="20" customHeight="1">
      <x:c r="A29" s="17" t="str">
        <x:v>P0013</x:v>
      </x:c>
      <x:c r="B29" s="17" t="str">
        <x:v>Q03</x:v>
      </x:c>
      <x:c r="C29" s="27" t="n">
        <x:v>1260000</x:v>
      </x:c>
      <x:c r="D29" s="27" t="n">
        <x:v>620000</x:v>
      </x:c>
      <x:c r="E29" s="27" t="n">
        <x:v>640000</x:v>
      </x:c>
      <x:c r="F29" s="28" t="n">
        <x:v>0.49206349206349204</x:v>
      </x:c>
    </x:row>
    <x:row r="30" ht="20" customHeight="1">
      <x:c r="A30" s="17" t="str">
        <x:v>P0014</x:v>
      </x:c>
      <x:c r="B30" s="17" t="str">
        <x:v>Q03</x:v>
      </x:c>
      <x:c r="C30" s="27" t="n">
        <x:v>3830000</x:v>
      </x:c>
      <x:c r="D30" s="27" t="n">
        <x:v>1100000</x:v>
      </x:c>
      <x:c r="E30" s="27" t="n">
        <x:v>2730000</x:v>
      </x:c>
      <x:c r="F30" s="28" t="n">
        <x:v>0.28720626631853785</x:v>
      </x:c>
    </x:row>
    <x:row r="31" ht="20" customHeight="1">
      <x:c r="A31" s="17" t="str">
        <x:v>P0015</x:v>
      </x:c>
      <x:c r="B31" s="17" t="str">
        <x:v>Q03</x:v>
      </x:c>
      <x:c r="C31" s="27" t="n">
        <x:v>70000</x:v>
      </x:c>
      <x:c r="D31" s="27" t="n">
        <x:v>70000</x:v>
      </x:c>
      <x:c r="E31" s="27" t="n">
        <x:v>0</x:v>
      </x:c>
      <x:c r="F31" s="28" t="n">
        <x:v>1</x:v>
      </x:c>
    </x:row>
  </x:sheetData>
  <x:mergeCells>
    <x:mergeCell ref="A1:F1"/>
    <x:mergeCell ref="A2:F2"/>
  </x:mergeCells>
  <x:conditionalFormatting sqref="F5:F31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dea8133f86a41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2" hidden="0" customWidth="1"/>
    <x:col min="10" max="10" width="11" hidden="0" customWidth="1"/>
    <x:col min="11" max="11" width="12" hidden="0" customWidth="1"/>
    <x:col min="12" max="12" width="11" hidden="0" customWidth="1"/>
    <x:col min="13" max="13" width="45" hidden="0" customWidth="1"/>
  </x:cols>
  <x:sheetData>
    <x:row r="1" ht="30" customHeight="1">
      <x:c r="A1" s="4" t="str">
        <x:v>产能与参数敏感性分析</x:v>
      </x:c>
      <x:c r="B1" s="4" t="str">
        <x:v>产能与参数敏感性分析</x:v>
      </x:c>
      <x:c r="C1" s="4" t="str">
        <x:v>产能与参数敏感性分析</x:v>
      </x:c>
      <x:c r="D1" s="4" t="str">
        <x:v>产能与参数敏感性分析</x:v>
      </x:c>
      <x:c r="E1" s="4" t="str">
        <x:v>产能与参数敏感性分析</x:v>
      </x:c>
      <x:c r="F1" s="4" t="str">
        <x:v>产能与参数敏感性分析</x:v>
      </x:c>
      <x:c r="G1" s="4" t="str">
        <x:v>产能与参数敏感性分析</x:v>
      </x:c>
      <x:c r="H1" s="4" t="str">
        <x:v>产能与参数敏感性分析</x:v>
      </x:c>
      <x:c r="I1" s="4" t="str">
        <x:v>产能与参数敏感性分析</x:v>
      </x:c>
      <x:c r="J1" s="4" t="str">
        <x:v>产能与参数敏感性分析</x:v>
      </x:c>
      <x:c r="K1" s="4" t="str">
        <x:v>产能与参数敏感性分析</x:v>
      </x:c>
      <x:c r="L1" s="4" t="str">
        <x:v>产能与参数敏感性分析</x:v>
      </x:c>
      <x:c r="M1" s="4" t="str">
        <x:v>产能与参数敏感性分析</x:v>
      </x:c>
    </x:row>
    <x:row r="2" ht="22" customHeight="1">
      <x:c r="A2" s="8" t="str">
        <x:v>主方案为Q95收缩产能；其他情景只用于稳健性对照</x:v>
      </x:c>
      <x:c r="B2" s="8" t="str">
        <x:v>主方案为Q95收缩产能；其他情景只用于稳健性对照</x:v>
      </x:c>
      <x:c r="C2" s="8" t="str">
        <x:v>主方案为Q95收缩产能；其他情景只用于稳健性对照</x:v>
      </x:c>
      <x:c r="D2" s="8" t="str">
        <x:v>主方案为Q95收缩产能；其他情景只用于稳健性对照</x:v>
      </x:c>
      <x:c r="E2" s="8" t="str">
        <x:v>主方案为Q95收缩产能；其他情景只用于稳健性对照</x:v>
      </x:c>
      <x:c r="F2" s="8" t="str">
        <x:v>主方案为Q95收缩产能；其他情景只用于稳健性对照</x:v>
      </x:c>
      <x:c r="G2" s="8" t="str">
        <x:v>主方案为Q95收缩产能；其他情景只用于稳健性对照</x:v>
      </x:c>
      <x:c r="H2" s="8" t="str">
        <x:v>主方案为Q95收缩产能；其他情景只用于稳健性对照</x:v>
      </x:c>
      <x:c r="I2" s="8" t="str">
        <x:v>主方案为Q95收缩产能；其他情景只用于稳健性对照</x:v>
      </x:c>
      <x:c r="J2" s="8" t="str">
        <x:v>主方案为Q95收缩产能；其他情景只用于稳健性对照</x:v>
      </x:c>
      <x:c r="K2" s="8" t="str">
        <x:v>主方案为Q95收缩产能；其他情景只用于稳健性对照</x:v>
      </x:c>
      <x:c r="L2" s="8" t="str">
        <x:v>主方案为Q95收缩产能；其他情景只用于稳健性对照</x:v>
      </x:c>
      <x:c r="M2" s="8" t="str">
        <x:v>主方案为Q95收缩产能；其他情景只用于稳健性对照</x:v>
      </x:c>
    </x:row>
    <x:row r="4" ht="26" customHeight="1">
      <x:c r="A4" s="14" t="str">
        <x:v>情景</x:v>
      </x:c>
      <x:c r="B4" s="14" t="str">
        <x:v>总排产量</x:v>
      </x:c>
      <x:c r="C4" s="14" t="str">
        <x:v>总剩余量</x:v>
      </x:c>
      <x:c r="D4" s="14" t="str">
        <x:v>完成率</x:v>
      </x:c>
      <x:c r="E4" s="14" t="str">
        <x:v>产品换产</x:v>
      </x:c>
      <x:c r="F4" s="14" t="str">
        <x:v>酒质切换</x:v>
      </x:c>
      <x:c r="G4" s="14" t="str">
        <x:v>开工班次</x:v>
      </x:c>
      <x:c r="H4" s="14" t="str">
        <x:v>完全满足组合</x:v>
      </x:c>
      <x:c r="I4" s="14" t="str">
        <x:v>部分满足组合</x:v>
      </x:c>
      <x:c r="J4" s="14" t="str">
        <x:v>未排组合</x:v>
      </x:c>
      <x:c r="K4" s="14" t="str">
        <x:v>求解秒数</x:v>
      </x:c>
      <x:c r="L4" s="14" t="str">
        <x:v>MIP间隙</x:v>
      </x:c>
      <x:c r="M4" s="14" t="str">
        <x:v>求解状态</x:v>
      </x:c>
    </x:row>
    <x:row r="5" ht="20" customHeight="1">
      <x:c r="A5" s="17" t="str">
        <x:v>Q90收缩产能</x:v>
      </x:c>
      <x:c r="B5" s="18" t="n">
        <x:v>4477980</x:v>
      </x:c>
      <x:c r="C5" s="18" t="n">
        <x:v>7365830</x:v>
      </x:c>
      <x:c r="D5" s="32" t="n">
        <x:v>0.378086105737934</x:v>
      </x:c>
      <x:c r="E5" s="21" t="n">
        <x:v>1</x:v>
      </x:c>
      <x:c r="F5" s="21" t="n">
        <x:v>1</x:v>
      </x:c>
      <x:c r="G5" s="21" t="n">
        <x:v>130</x:v>
      </x:c>
      <x:c r="H5" s="21" t="n">
        <x:v>3</x:v>
      </x:c>
      <x:c r="I5" s="21" t="n">
        <x:v>7</x:v>
      </x:c>
      <x:c r="J5" s="21" t="n">
        <x:v>17</x:v>
      </x:c>
      <x:c r="K5" s="105" t="n">
        <x:v>1.869658999999956</x:v>
      </x:c>
      <x:c r="L5" s="106" t="n">
        <x:v>0</x:v>
      </x:c>
      <x:c r="M5" s="17" t="str">
        <x:v>Optimization terminated successfully. (HiGHS Status 7: Optimal)</x:v>
      </x:c>
    </x:row>
    <x:row r="6" ht="20" customHeight="1">
      <x:c r="A6" s="91" t="str">
        <x:v>Q95收缩产能（主方案）</x:v>
      </x:c>
      <x:c r="B6" s="92" t="n">
        <x:v>4482980</x:v>
      </x:c>
      <x:c r="C6" s="92" t="n">
        <x:v>7360830</x:v>
      </x:c>
      <x:c r="D6" s="93" t="n">
        <x:v>0.37850826718767017</x:v>
      </x:c>
      <x:c r="E6" s="94" t="n">
        <x:v>1</x:v>
      </x:c>
      <x:c r="F6" s="94" t="n">
        <x:v>1</x:v>
      </x:c>
      <x:c r="G6" s="94" t="n">
        <x:v>130</x:v>
      </x:c>
      <x:c r="H6" s="94" t="n">
        <x:v>3</x:v>
      </x:c>
      <x:c r="I6" s="94" t="n">
        <x:v>7</x:v>
      </x:c>
      <x:c r="J6" s="94" t="n">
        <x:v>17</x:v>
      </x:c>
      <x:c r="K6" s="107" t="n">
        <x:v>1.9646020999998655</x:v>
      </x:c>
      <x:c r="L6" s="108" t="n">
        <x:v>0</x:v>
      </x:c>
      <x:c r="M6" s="91" t="str">
        <x:v>Optimization terminated successfully. (HiGHS Status 7: Optimal)</x:v>
      </x:c>
    </x:row>
    <x:row r="7" ht="20" customHeight="1">
      <x:c r="A7" s="17" t="str">
        <x:v>历史最大值</x:v>
      </x:c>
      <x:c r="B7" s="18" t="n">
        <x:v>5392720</x:v>
      </x:c>
      <x:c r="C7" s="18" t="n">
        <x:v>6451090</x:v>
      </x:c>
      <x:c r="D7" s="32" t="n">
        <x:v>0.45531969864427074</x:v>
      </x:c>
      <x:c r="E7" s="21" t="n">
        <x:v>1</x:v>
      </x:c>
      <x:c r="F7" s="21" t="n">
        <x:v>1</x:v>
      </x:c>
      <x:c r="G7" s="21" t="n">
        <x:v>130</x:v>
      </x:c>
      <x:c r="H7" s="21" t="n">
        <x:v>3</x:v>
      </x:c>
      <x:c r="I7" s="21" t="n">
        <x:v>7</x:v>
      </x:c>
      <x:c r="J7" s="21" t="n">
        <x:v>17</x:v>
      </x:c>
      <x:c r="K7" s="105" t="n">
        <x:v>1.7895013999996081</x:v>
      </x:c>
      <x:c r="L7" s="106" t="n">
        <x:v>0</x:v>
      </x:c>
      <x:c r="M7" s="17" t="str">
        <x:v>Optimization terminated successfully. (HiGHS Status 7: Optimal)</x:v>
      </x:c>
    </x:row>
    <x:row r="8" ht="20" customHeight="1">
      <x:c r="A8" s="17" t="str">
        <x:v>主产能×0.80</x:v>
      </x:c>
      <x:c r="B8" s="18" t="n">
        <x:v>3594386</x:v>
      </x:c>
      <x:c r="C8" s="18" t="n">
        <x:v>8249424</x:v>
      </x:c>
      <x:c r="D8" s="32" t="n">
        <x:v>0.30348224093429393</x:v>
      </x:c>
      <x:c r="E8" s="21" t="n">
        <x:v>1</x:v>
      </x:c>
      <x:c r="F8" s="21" t="n">
        <x:v>0</x:v>
      </x:c>
      <x:c r="G8" s="21" t="n">
        <x:v>130</x:v>
      </x:c>
      <x:c r="H8" s="21" t="n">
        <x:v>1</x:v>
      </x:c>
      <x:c r="I8" s="21" t="n">
        <x:v>8</x:v>
      </x:c>
      <x:c r="J8" s="21" t="n">
        <x:v>18</x:v>
      </x:c>
      <x:c r="K8" s="105" t="n">
        <x:v>2.2558257999999114</x:v>
      </x:c>
      <x:c r="L8" s="106" t="n">
        <x:v>0</x:v>
      </x:c>
      <x:c r="M8" s="17" t="str">
        <x:v>Optimization terminated successfully. (HiGHS Status 7: Optimal)</x:v>
      </x:c>
    </x:row>
    <x:row r="9" ht="20" customHeight="1">
      <x:c r="A9" s="17" t="str">
        <x:v>主产能×0.90</x:v>
      </x:c>
      <x:c r="B9" s="18" t="n">
        <x:v>4038094</x:v>
      </x:c>
      <x:c r="C9" s="18" t="n">
        <x:v>7805716</x:v>
      </x:c>
      <x:c r="D9" s="32" t="n">
        <x:v>0.34094552344220314</x:v>
      </x:c>
      <x:c r="E9" s="21" t="n">
        <x:v>2</x:v>
      </x:c>
      <x:c r="F9" s="21" t="n">
        <x:v>1</x:v>
      </x:c>
      <x:c r="G9" s="21" t="n">
        <x:v>130</x:v>
      </x:c>
      <x:c r="H9" s="21" t="n">
        <x:v>0</x:v>
      </x:c>
      <x:c r="I9" s="21" t="n">
        <x:v>10</x:v>
      </x:c>
      <x:c r="J9" s="21" t="n">
        <x:v>17</x:v>
      </x:c>
      <x:c r="K9" s="105" t="n">
        <x:v>5.9546165000001565</x:v>
      </x:c>
      <x:c r="L9" s="106" t="n">
        <x:v>0</x:v>
      </x:c>
      <x:c r="M9" s="17" t="str">
        <x:v>Optimization terminated successfully. (HiGHS Status 7: Optimal)</x:v>
      </x:c>
    </x:row>
    <x:row r="10" ht="20" customHeight="1">
      <x:c r="A10" s="17" t="str">
        <x:v>主产能×0.95</x:v>
      </x:c>
      <x:c r="B10" s="18" t="n">
        <x:v>4261478</x:v>
      </x:c>
      <x:c r="C10" s="18" t="n">
        <x:v>7582332</x:v>
      </x:c>
      <x:c r="D10" s="32" t="n">
        <x:v>0.359806346099777</x:v>
      </x:c>
      <x:c r="E10" s="21" t="n">
        <x:v>1</x:v>
      </x:c>
      <x:c r="F10" s="21" t="n">
        <x:v>1</x:v>
      </x:c>
      <x:c r="G10" s="21" t="n">
        <x:v>130</x:v>
      </x:c>
      <x:c r="H10" s="21" t="n">
        <x:v>0</x:v>
      </x:c>
      <x:c r="I10" s="21" t="n">
        <x:v>10</x:v>
      </x:c>
      <x:c r="J10" s="21" t="n">
        <x:v>17</x:v>
      </x:c>
      <x:c r="K10" s="105" t="n">
        <x:v>1.7892391999998836</x:v>
      </x:c>
      <x:c r="L10" s="106" t="n">
        <x:v>0</x:v>
      </x:c>
      <x:c r="M10" s="17" t="str">
        <x:v>Optimization terminated successfully. (HiGHS Status 7: Optimal)</x:v>
      </x:c>
    </x:row>
    <x:row r="11" ht="20" customHeight="1">
      <x:c r="A11" s="17" t="str">
        <x:v>主产能×1.00</x:v>
      </x:c>
      <x:c r="B11" s="18" t="n">
        <x:v>4482980</x:v>
      </x:c>
      <x:c r="C11" s="18" t="n">
        <x:v>7360830</x:v>
      </x:c>
      <x:c r="D11" s="32" t="n">
        <x:v>0.37850826718767017</x:v>
      </x:c>
      <x:c r="E11" s="21" t="n">
        <x:v>1</x:v>
      </x:c>
      <x:c r="F11" s="21" t="n">
        <x:v>1</x:v>
      </x:c>
      <x:c r="G11" s="21" t="n">
        <x:v>130</x:v>
      </x:c>
      <x:c r="H11" s="21" t="n">
        <x:v>3</x:v>
      </x:c>
      <x:c r="I11" s="21" t="n">
        <x:v>7</x:v>
      </x:c>
      <x:c r="J11" s="21" t="n">
        <x:v>17</x:v>
      </x:c>
      <x:c r="K11" s="105" t="n">
        <x:v>1.9618157999998402</x:v>
      </x:c>
      <x:c r="L11" s="106" t="n">
        <x:v>0</x:v>
      </x:c>
      <x:c r="M11" s="17" t="str">
        <x:v>Optimization terminated successfully. (HiGHS Status 7: Optimal)</x:v>
      </x:c>
    </x:row>
    <x:row r="12" ht="20" customHeight="1">
      <x:c r="A12" s="17" t="str">
        <x:v>主产能×1.05</x:v>
      </x:c>
      <x:c r="B12" s="18" t="n">
        <x:v>4701798</x:v>
      </x:c>
      <x:c r="C12" s="18" t="n">
        <x:v>7142012</x:v>
      </x:c>
      <x:c r="D12" s="32" t="n">
        <x:v>0.396983572009345</x:v>
      </x:c>
      <x:c r="E12" s="21" t="n">
        <x:v>2</x:v>
      </x:c>
      <x:c r="F12" s="21" t="n">
        <x:v>1</x:v>
      </x:c>
      <x:c r="G12" s="21" t="n">
        <x:v>130</x:v>
      </x:c>
      <x:c r="H12" s="21" t="n">
        <x:v>0</x:v>
      </x:c>
      <x:c r="I12" s="21" t="n">
        <x:v>9</x:v>
      </x:c>
      <x:c r="J12" s="21" t="n">
        <x:v>18</x:v>
      </x:c>
      <x:c r="K12" s="105" t="n">
        <x:v>5.790135600000212</x:v>
      </x:c>
      <x:c r="L12" s="106" t="n">
        <x:v>2.186285340800308e-16</x:v>
      </x:c>
      <x:c r="M12" s="17" t="str">
        <x:v>Optimization terminated successfully. (HiGHS Status 7: Optimal)</x:v>
      </x:c>
    </x:row>
    <x:row r="13" ht="20" customHeight="1">
      <x:c r="A13" s="17" t="str">
        <x:v>主产能×1.10</x:v>
      </x:c>
      <x:c r="B13" s="18" t="n">
        <x:v>4925692</x:v>
      </x:c>
      <x:c r="C13" s="18" t="n">
        <x:v>6918118</x:v>
      </x:c>
      <x:c r="D13" s="32" t="n">
        <x:v>0.4158874551347919</x:v>
      </x:c>
      <x:c r="E13" s="21" t="n">
        <x:v>2</x:v>
      </x:c>
      <x:c r="F13" s="21" t="n">
        <x:v>1</x:v>
      </x:c>
      <x:c r="G13" s="21" t="n">
        <x:v>130</x:v>
      </x:c>
      <x:c r="H13" s="21" t="n">
        <x:v>0</x:v>
      </x:c>
      <x:c r="I13" s="21" t="n">
        <x:v>9</x:v>
      </x:c>
      <x:c r="J13" s="21" t="n">
        <x:v>18</x:v>
      </x:c>
      <x:c r="K13" s="105" t="n">
        <x:v>3.902649699999529</x:v>
      </x:c>
      <x:c r="L13" s="106" t="n">
        <x:v>0</x:v>
      </x:c>
      <x:c r="M13" s="17" t="str">
        <x:v>Optimization terminated successfully. (HiGHS Status 7: Optimal)</x:v>
      </x:c>
    </x:row>
    <x:row r="14" ht="20" customHeight="1">
      <x:c r="A14" s="17" t="str">
        <x:v>主产能×1.20</x:v>
      </x:c>
      <x:c r="B14" s="18" t="n">
        <x:v>5364058</x:v>
      </x:c>
      <x:c r="C14" s="18" t="n">
        <x:v>6479752</x:v>
      </x:c>
      <x:c r="D14" s="32" t="n">
        <x:v>0.452899700349803</x:v>
      </x:c>
      <x:c r="E14" s="21" t="n">
        <x:v>2</x:v>
      </x:c>
      <x:c r="F14" s="21" t="n">
        <x:v>1</x:v>
      </x:c>
      <x:c r="G14" s="21" t="n">
        <x:v>130</x:v>
      </x:c>
      <x:c r="H14" s="21" t="n">
        <x:v>0</x:v>
      </x:c>
      <x:c r="I14" s="21" t="n">
        <x:v>9</x:v>
      </x:c>
      <x:c r="J14" s="21" t="n">
        <x:v>18</x:v>
      </x:c>
      <x:c r="K14" s="105" t="n">
        <x:v>8.46487419999994</x:v>
      </x:c>
      <x:c r="L14" s="106" t="n">
        <x:v>0</x:v>
      </x:c>
      <x:c r="M14" s="17" t="str">
        <x:v>Optimization terminated successfully. (HiGHS Status 7: Optimal)</x:v>
      </x:c>
    </x:row>
  </x:sheetData>
  <x:mergeCells>
    <x:mergeCell ref="A1:M1"/>
    <x:mergeCell ref="A2:M2"/>
  </x:mergeCells>
  <x:conditionalFormatting sqref="D5:D14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880218a0da5487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" hidden="0" customWidth="1"/>
    <x:col min="3" max="3" width="8" hidden="0" customWidth="1"/>
    <x:col min="4" max="4" width="10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1" hidden="0" customWidth="1"/>
  </x:cols>
  <x:sheetData>
    <x:row r="1" ht="30" customHeight="1">
      <x:c r="A1" s="4" t="str">
        <x:v>Q95收缩产能与产线偏好参数</x:v>
      </x:c>
      <x:c r="B1" s="4" t="str">
        <x:v>Q95收缩产能与产线偏好参数</x:v>
      </x:c>
      <x:c r="C1" s="4" t="str">
        <x:v>Q95收缩产能与产线偏好参数</x:v>
      </x:c>
      <x:c r="D1" s="4" t="str">
        <x:v>Q95收缩产能与产线偏好参数</x:v>
      </x:c>
      <x:c r="E1" s="4" t="str">
        <x:v>Q95收缩产能与产线偏好参数</x:v>
      </x:c>
      <x:c r="F1" s="4" t="str">
        <x:v>Q95收缩产能与产线偏好参数</x:v>
      </x:c>
      <x:c r="G1" s="4" t="str">
        <x:v>Q95收缩产能与产线偏好参数</x:v>
      </x:c>
      <x:c r="H1" s="4" t="str">
        <x:v>Q95收缩产能与产线偏好参数</x:v>
      </x:c>
      <x:c r="I1" s="4" t="str">
        <x:v>Q95收缩产能与产线偏好参数</x:v>
      </x:c>
      <x:c r="J1" s="4" t="str">
        <x:v>Q95收缩产能与产线偏好参数</x:v>
      </x:c>
      <x:c r="K1" s="4" t="str">
        <x:v>Q95收缩产能与产线偏好参数</x:v>
      </x:c>
      <x:c r="L1" s="4" t="str">
        <x:v>Q95收缩产能与产线偏好参数</x:v>
      </x:c>
      <x:c r="M1" s="4" t="str">
        <x:v>Q95收缩产能与产线偏好参数</x:v>
      </x:c>
      <x:c r="N1" s="4" t="str">
        <x:v>Q95收缩产能与产线偏好参数</x:v>
      </x:c>
      <x:c r="O1" s="4" t="str">
        <x:v>Q95收缩产能与产线偏好参数</x:v>
      </x:c>
      <x:c r="P1" s="4" t="str">
        <x:v>Q95收缩产能与产线偏好参数</x:v>
      </x:c>
      <x:c r="Q1" s="4" t="str">
        <x:v>Q95收缩产能与产线偏好参数</x:v>
      </x:c>
      <x:c r="R1" s="4" t="str">
        <x:v>Q95收缩产能与产线偏好参数</x:v>
      </x:c>
      <x:c r="S1" s="4" t="str">
        <x:v>Q95收缩产能与产线偏好参数</x:v>
      </x:c>
      <x:c r="T1" s="4" t="str">
        <x:v>Q95收缩产能与产线偏好参数</x:v>
      </x:c>
      <x:c r="U1" s="4" t="str">
        <x:v>Q95收缩产能与产线偏好参数</x:v>
      </x:c>
      <x:c r="V1" s="4" t="str">
        <x:v>Q95收缩产能与产线偏好参数</x:v>
      </x:c>
    </x:row>
    <x:row r="2" ht="22" customHeight="1">
      <x:c r="A2" s="8" t="str">
        <x:v>由附件1清洗后历史数据生成，供主方案MILP直接调用</x:v>
      </x:c>
      <x:c r="B2" s="8" t="str">
        <x:v>由附件1清洗后历史数据生成，供主方案MILP直接调用</x:v>
      </x:c>
      <x:c r="C2" s="8" t="str">
        <x:v>由附件1清洗后历史数据生成，供主方案MILP直接调用</x:v>
      </x:c>
      <x:c r="D2" s="8" t="str">
        <x:v>由附件1清洗后历史数据生成，供主方案MILP直接调用</x:v>
      </x:c>
      <x:c r="E2" s="8" t="str">
        <x:v>由附件1清洗后历史数据生成，供主方案MILP直接调用</x:v>
      </x:c>
      <x:c r="F2" s="8" t="str">
        <x:v>由附件1清洗后历史数据生成，供主方案MILP直接调用</x:v>
      </x:c>
      <x:c r="G2" s="8" t="str">
        <x:v>由附件1清洗后历史数据生成，供主方案MILP直接调用</x:v>
      </x:c>
      <x:c r="H2" s="8" t="str">
        <x:v>由附件1清洗后历史数据生成，供主方案MILP直接调用</x:v>
      </x:c>
      <x:c r="I2" s="8" t="str">
        <x:v>由附件1清洗后历史数据生成，供主方案MILP直接调用</x:v>
      </x:c>
      <x:c r="J2" s="8" t="str">
        <x:v>由附件1清洗后历史数据生成，供主方案MILP直接调用</x:v>
      </x:c>
      <x:c r="K2" s="8" t="str">
        <x:v>由附件1清洗后历史数据生成，供主方案MILP直接调用</x:v>
      </x:c>
      <x:c r="L2" s="8" t="str">
        <x:v>由附件1清洗后历史数据生成，供主方案MILP直接调用</x:v>
      </x:c>
      <x:c r="M2" s="8" t="str">
        <x:v>由附件1清洗后历史数据生成，供主方案MILP直接调用</x:v>
      </x:c>
      <x:c r="N2" s="8" t="str">
        <x:v>由附件1清洗后历史数据生成，供主方案MILP直接调用</x:v>
      </x:c>
      <x:c r="O2" s="8" t="str">
        <x:v>由附件1清洗后历史数据生成，供主方案MILP直接调用</x:v>
      </x:c>
      <x:c r="P2" s="8" t="str">
        <x:v>由附件1清洗后历史数据生成，供主方案MILP直接调用</x:v>
      </x:c>
      <x:c r="Q2" s="8" t="str">
        <x:v>由附件1清洗后历史数据生成，供主方案MILP直接调用</x:v>
      </x:c>
      <x:c r="R2" s="8" t="str">
        <x:v>由附件1清洗后历史数据生成，供主方案MILP直接调用</x:v>
      </x:c>
      <x:c r="S2" s="8" t="str">
        <x:v>由附件1清洗后历史数据生成，供主方案MILP直接调用</x:v>
      </x:c>
      <x:c r="T2" s="8" t="str">
        <x:v>由附件1清洗后历史数据生成，供主方案MILP直接调用</x:v>
      </x:c>
      <x:c r="U2" s="8" t="str">
        <x:v>由附件1清洗后历史数据生成，供主方案MILP直接调用</x:v>
      </x:c>
      <x:c r="V2" s="8" t="str">
        <x:v>由附件1清洗后历史数据生成，供主方案MILP直接调用</x:v>
      </x:c>
    </x:row>
    <x:row r="4" ht="26" customHeight="1">
      <x:c r="A4" s="14" t="str">
        <x:v>﻿产品</x:v>
      </x:c>
      <x:c r="B4" s="14" t="str">
        <x:v>酒质</x:v>
      </x:c>
      <x:c r="C4" s="14" t="str">
        <x:v>产线</x:v>
      </x:c>
      <x:c r="D4" s="14" t="str">
        <x:v>样本数</x:v>
      </x:c>
      <x:c r="E4" s="14" t="str">
        <x:v>全部历史样本数</x:v>
      </x:c>
      <x:c r="F4" s="14" t="str">
        <x:v>产能样本来源</x:v>
      </x:c>
      <x:c r="G4" s="14" t="str">
        <x:v>组内分位产能</x:v>
      </x:c>
      <x:c r="H4" s="14" t="str">
        <x:v>父组分位产能</x:v>
      </x:c>
      <x:c r="I4" s="14" t="str">
        <x:v>历史最大值</x:v>
      </x:c>
      <x:c r="J4" s="14" t="str">
        <x:v>估计班次产能</x:v>
      </x:c>
      <x:c r="K4" s="14" t="str">
        <x:v>稳健变异系数</x:v>
      </x:c>
      <x:c r="L4" s="14" t="str">
        <x:v>历史负载率</x:v>
      </x:c>
      <x:c r="M4" s="14" t="str">
        <x:v>Bootstrap下限</x:v>
      </x:c>
      <x:c r="N4" s="14" t="str">
        <x:v>Bootstrap上限</x:v>
      </x:c>
      <x:c r="O4" s="14" t="str">
        <x:v>历史分配次数</x:v>
      </x:c>
      <x:c r="P4" s="14" t="str">
        <x:v>历史分配份额</x:v>
      </x:c>
      <x:c r="Q4" s="14" t="str">
        <x:v>产能归一值</x:v>
      </x:c>
      <x:c r="R4" s="14" t="str">
        <x:v>稳定性归一值</x:v>
      </x:c>
      <x:c r="S4" s="14" t="str">
        <x:v>负载率归一值</x:v>
      </x:c>
      <x:c r="T4" s="14" t="str">
        <x:v>分配份额归一值</x:v>
      </x:c>
      <x:c r="U4" s="14" t="str">
        <x:v>偏好得分</x:v>
      </x:c>
      <x:c r="V4" s="14" t="str">
        <x:v>产线优先级</x:v>
      </x:c>
    </x:row>
    <x:row r="5" ht="20" customHeight="1">
      <x:c r="A5" s="17" t="str">
        <x:v>P0001</x:v>
      </x:c>
      <x:c r="B5" s="17" t="str">
        <x:v>Q03</x:v>
      </x:c>
      <x:c r="C5" s="17" t="str">
        <x:v>L12</x:v>
      </x:c>
      <x:c r="D5" s="21" t="n">
        <x:v>11</x:v>
      </x:c>
      <x:c r="E5" s="21" t="n">
        <x:v>12</x:v>
      </x:c>
      <x:c r="F5" s="17" t="str">
        <x:v>完整单产品班次</x:v>
      </x:c>
      <x:c r="G5" s="18" t="n">
        <x:v>13000</x:v>
      </x:c>
      <x:c r="H5" s="18" t="n">
        <x:v>35000</x:v>
      </x:c>
      <x:c r="I5" s="18" t="n">
        <x:v>13000</x:v>
      </x:c>
      <x:c r="J5" s="18" t="n">
        <x:v>13000</x:v>
      </x:c>
      <x:c r="K5" s="20" t="n">
        <x:v>0</x:v>
      </x:c>
      <x:c r="L5" s="19" t="n">
        <x:v>1</x:v>
      </x:c>
      <x:c r="M5" s="18" t="n">
        <x:v>13000</x:v>
      </x:c>
      <x:c r="N5" s="18" t="n">
        <x:v>13000</x:v>
      </x:c>
      <x:c r="O5" s="21" t="n">
        <x:v>12</x:v>
      </x:c>
      <x:c r="P5" s="20" t="n">
        <x:v>0.6666666666666666</x:v>
      </x:c>
      <x:c r="Q5" s="20" t="n">
        <x:v>1</x:v>
      </x:c>
      <x:c r="R5" s="20" t="n">
        <x:v>1</x:v>
      </x:c>
      <x:c r="S5" s="20" t="n">
        <x:v>1</x:v>
      </x:c>
      <x:c r="T5" s="20" t="n">
        <x:v>1</x:v>
      </x:c>
      <x:c r="U5" s="20" t="n">
        <x:v>1</x:v>
      </x:c>
      <x:c r="V5" s="17" t="n">
        <x:v>1</x:v>
      </x:c>
    </x:row>
    <x:row r="6" ht="20" customHeight="1">
      <x:c r="A6" s="17" t="str">
        <x:v>P0001</x:v>
      </x:c>
      <x:c r="B6" s="17" t="str">
        <x:v>Q03</x:v>
      </x:c>
      <x:c r="C6" s="17" t="str">
        <x:v>L14</x:v>
      </x:c>
      <x:c r="D6" s="21" t="n">
        <x:v>6</x:v>
      </x:c>
      <x:c r="E6" s="21" t="n">
        <x:v>6</x:v>
      </x:c>
      <x:c r="F6" s="17" t="str">
        <x:v>完整单产品班次</x:v>
      </x:c>
      <x:c r="G6" s="18" t="n">
        <x:v>13000</x:v>
      </x:c>
      <x:c r="H6" s="18" t="n">
        <x:v>28000</x:v>
      </x:c>
      <x:c r="I6" s="18" t="n">
        <x:v>13000</x:v>
      </x:c>
      <x:c r="J6" s="18" t="n">
        <x:v>13000</x:v>
      </x:c>
      <x:c r="K6" s="20" t="n">
        <x:v>0</x:v>
      </x:c>
      <x:c r="L6" s="19" t="n">
        <x:v>1</x:v>
      </x:c>
      <x:c r="M6" s="18" t="n">
        <x:v>13000</x:v>
      </x:c>
      <x:c r="N6" s="18" t="n">
        <x:v>13000</x:v>
      </x:c>
      <x:c r="O6" s="21" t="n">
        <x:v>6</x:v>
      </x:c>
      <x:c r="P6" s="20" t="n">
        <x:v>0.3333333333333333</x:v>
      </x:c>
      <x:c r="Q6" s="20" t="n">
        <x:v>1</x:v>
      </x:c>
      <x:c r="R6" s="20" t="n">
        <x:v>1</x:v>
      </x:c>
      <x:c r="S6" s="20" t="n">
        <x:v>1</x:v>
      </x:c>
      <x:c r="T6" s="20" t="n">
        <x:v>0</x:v>
      </x:c>
      <x:c r="U6" s="20" t="n">
        <x:v>0.8</x:v>
      </x:c>
      <x:c r="V6" s="17" t="n">
        <x:v>2</x:v>
      </x:c>
    </x:row>
    <x:row r="7" ht="20" customHeight="1">
      <x:c r="A7" s="17" t="str">
        <x:v>P0002</x:v>
      </x:c>
      <x:c r="B7" s="17" t="str">
        <x:v>Q03</x:v>
      </x:c>
      <x:c r="C7" s="17" t="str">
        <x:v>L09</x:v>
      </x:c>
      <x:c r="D7" s="21" t="n">
        <x:v>6</x:v>
      </x:c>
      <x:c r="E7" s="21" t="n">
        <x:v>8</x:v>
      </x:c>
      <x:c r="F7" s="17" t="str">
        <x:v>完整单产品班次</x:v>
      </x:c>
      <x:c r="G7" s="18" t="n">
        <x:v>15000</x:v>
      </x:c>
      <x:c r="H7" s="18" t="n">
        <x:v>19000</x:v>
      </x:c>
      <x:c r="I7" s="18" t="n">
        <x:v>15000</x:v>
      </x:c>
      <x:c r="J7" s="18" t="n">
        <x:v>15000</x:v>
      </x:c>
      <x:c r="K7" s="20" t="n">
        <x:v>0</x:v>
      </x:c>
      <x:c r="L7" s="19" t="n">
        <x:v>1</x:v>
      </x:c>
      <x:c r="M7" s="18" t="n">
        <x:v>15000</x:v>
      </x:c>
      <x:c r="N7" s="18" t="n">
        <x:v>15000</x:v>
      </x:c>
      <x:c r="O7" s="21" t="n">
        <x:v>8</x:v>
      </x:c>
      <x:c r="P7" s="20" t="n">
        <x:v>1</x:v>
      </x:c>
      <x:c r="Q7" s="20" t="n">
        <x:v>1</x:v>
      </x:c>
      <x:c r="R7" s="20" t="n">
        <x:v>1</x:v>
      </x:c>
      <x:c r="S7" s="20" t="n">
        <x:v>1</x:v>
      </x:c>
      <x:c r="T7" s="20" t="n">
        <x:v>1</x:v>
      </x:c>
      <x:c r="U7" s="20" t="n">
        <x:v>1</x:v>
      </x:c>
      <x:c r="V7" s="17" t="n">
        <x:v>1</x:v>
      </x:c>
    </x:row>
    <x:row r="8" ht="20" customHeight="1">
      <x:c r="A8" s="17" t="str">
        <x:v>P0003</x:v>
      </x:c>
      <x:c r="B8" s="17" t="str">
        <x:v>Q03</x:v>
      </x:c>
      <x:c r="C8" s="17" t="str">
        <x:v>L14</x:v>
      </x:c>
      <x:c r="D8" s="21" t="n">
        <x:v>5</x:v>
      </x:c>
      <x:c r="E8" s="21" t="n">
        <x:v>5</x:v>
      </x:c>
      <x:c r="F8" s="17" t="str">
        <x:v>完整单产品班次</x:v>
      </x:c>
      <x:c r="G8" s="18" t="n">
        <x:v>20000</x:v>
      </x:c>
      <x:c r="H8" s="18" t="n">
        <x:v>28000</x:v>
      </x:c>
      <x:c r="I8" s="18" t="n">
        <x:v>20000</x:v>
      </x:c>
      <x:c r="J8" s="18" t="n">
        <x:v>20000</x:v>
      </x:c>
      <x:c r="K8" s="20" t="n">
        <x:v>0</x:v>
      </x:c>
      <x:c r="L8" s="19" t="n">
        <x:v>0.8415799999999999</x:v>
      </x:c>
      <x:c r="M8" s="18" t="n">
        <x:v>20000</x:v>
      </x:c>
      <x:c r="N8" s="18" t="n">
        <x:v>20000</x:v>
      </x:c>
      <x:c r="O8" s="21" t="n">
        <x:v>5</x:v>
      </x:c>
      <x:c r="P8" s="20" t="n">
        <x:v>1</x:v>
      </x:c>
      <x:c r="Q8" s="20" t="n">
        <x:v>1</x:v>
      </x:c>
      <x:c r="R8" s="20" t="n">
        <x:v>1</x:v>
      </x:c>
      <x:c r="S8" s="20" t="n">
        <x:v>1</x:v>
      </x:c>
      <x:c r="T8" s="20" t="n">
        <x:v>1</x:v>
      </x:c>
      <x:c r="U8" s="20" t="n">
        <x:v>1</x:v>
      </x:c>
      <x:c r="V8" s="17" t="n">
        <x:v>1</x:v>
      </x:c>
    </x:row>
    <x:row r="9" ht="20" customHeight="1">
      <x:c r="A9" s="17" t="str">
        <x:v>P0004</x:v>
      </x:c>
      <x:c r="B9" s="17" t="str">
        <x:v>Q02</x:v>
      </x:c>
      <x:c r="C9" s="17" t="str">
        <x:v>L02</x:v>
      </x:c>
      <x:c r="D9" s="21" t="n">
        <x:v>2</x:v>
      </x:c>
      <x:c r="E9" s="21" t="n">
        <x:v>2</x:v>
      </x:c>
      <x:c r="F9" s="17" t="str">
        <x:v>冲突或缺班次回退</x:v>
      </x:c>
      <x:c r="G9" s="18" t="n">
        <x:v>285.3</x:v>
      </x:c>
      <x:c r="H9" s="18" t="n">
        <x:v>285.3</x:v>
      </x:c>
      <x:c r="I9" s="18" t="n">
        <x:v>300</x:v>
      </x:c>
      <x:c r="J9" s="18" t="n">
        <x:v>285</x:v>
      </x:c>
      <x:c r="K9" s="20" t="n">
        <x:v>1.4244588235294118</x:v>
      </x:c>
      <x:c r="L9" s="19" t="n">
        <x:v>0.5368421052631579</x:v>
      </x:c>
      <x:c r="M9" s="18" t="n">
        <x:v>6</x:v>
      </x:c>
      <x:c r="N9" s="18" t="n">
        <x:v>300</x:v>
      </x:c>
      <x:c r="O9" s="21" t="n">
        <x:v>2</x:v>
      </x:c>
      <x:c r="P9" s="20" t="n">
        <x:v>0.008968609865470852</x:v>
      </x:c>
      <x:c r="Q9" s="20" t="n">
        <x:v>0</x:v>
      </x:c>
      <x:c r="R9" s="20" t="n">
        <x:v>0</x:v>
      </x:c>
      <x:c r="S9" s="20" t="n">
        <x:v>0</x:v>
      </x:c>
      <x:c r="T9" s="20" t="n">
        <x:v>0</x:v>
      </x:c>
      <x:c r="U9" s="20" t="n">
        <x:v>0</x:v>
      </x:c>
      <x:c r="V9" s="17" t="n">
        <x:v>2</x:v>
      </x:c>
    </x:row>
    <x:row r="10" ht="20" customHeight="1">
      <x:c r="A10" s="17" t="str">
        <x:v>P0004</x:v>
      </x:c>
      <x:c r="B10" s="17" t="str">
        <x:v>Q02</x:v>
      </x:c>
      <x:c r="C10" s="17" t="str">
        <x:v>L08</x:v>
      </x:c>
      <x:c r="D10" s="21" t="n">
        <x:v>213</x:v>
      </x:c>
      <x:c r="E10" s="21" t="n">
        <x:v>221</x:v>
      </x:c>
      <x:c r="F10" s="17" t="str">
        <x:v>完整单产品班次</x:v>
      </x:c>
      <x:c r="G10" s="18" t="n">
        <x:v>35000</x:v>
      </x:c>
      <x:c r="H10" s="18" t="n">
        <x:v>35000</x:v>
      </x:c>
      <x:c r="I10" s="18" t="n">
        <x:v>35000</x:v>
      </x:c>
      <x:c r="J10" s="18" t="n">
        <x:v>35000</x:v>
      </x:c>
      <x:c r="K10" s="20" t="n">
        <x:v>0</x:v>
      </x:c>
      <x:c r="L10" s="19" t="n">
        <x:v>0.8991281019450034</x:v>
      </x:c>
      <x:c r="M10" s="18" t="n">
        <x:v>35000</x:v>
      </x:c>
      <x:c r="N10" s="18" t="n">
        <x:v>35000</x:v>
      </x:c>
      <x:c r="O10" s="21" t="n">
        <x:v>221</x:v>
      </x:c>
      <x:c r="P10" s="20" t="n">
        <x:v>0.9910313901345291</x:v>
      </x:c>
      <x:c r="Q10" s="20" t="n">
        <x:v>1</x:v>
      </x:c>
      <x:c r="R10" s="20" t="n">
        <x:v>1</x:v>
      </x:c>
      <x:c r="S10" s="20" t="n">
        <x:v>1</x:v>
      </x:c>
      <x:c r="T10" s="20" t="n">
        <x:v>1</x:v>
      </x:c>
      <x:c r="U10" s="20" t="n">
        <x:v>1</x:v>
      </x:c>
      <x:c r="V10" s="17" t="n">
        <x:v>1</x:v>
      </x:c>
    </x:row>
    <x:row r="11" ht="20" customHeight="1">
      <x:c r="A11" s="17" t="str">
        <x:v>P0005</x:v>
      </x:c>
      <x:c r="B11" s="17" t="str">
        <x:v>Q03</x:v>
      </x:c>
      <x:c r="C11" s="17" t="str">
        <x:v>L05</x:v>
      </x:c>
      <x:c r="D11" s="21" t="n">
        <x:v>5</x:v>
      </x:c>
      <x:c r="E11" s="21" t="n">
        <x:v>6</x:v>
      </x:c>
      <x:c r="F11" s="17" t="str">
        <x:v>完整单产品班次</x:v>
      </x:c>
      <x:c r="G11" s="18" t="n">
        <x:v>3000</x:v>
      </x:c>
      <x:c r="H11" s="18" t="n">
        <x:v>4000</x:v>
      </x:c>
      <x:c r="I11" s="18" t="n">
        <x:v>3000</x:v>
      </x:c>
      <x:c r="J11" s="18" t="n">
        <x:v>3000</x:v>
      </x:c>
      <x:c r="K11" s="20" t="n">
        <x:v>0</x:v>
      </x:c>
      <x:c r="L11" s="19" t="n">
        <x:v>0.98</x:v>
      </x:c>
      <x:c r="M11" s="18" t="n">
        <x:v>3000</x:v>
      </x:c>
      <x:c r="N11" s="18" t="n">
        <x:v>3000</x:v>
      </x:c>
      <x:c r="O11" s="21" t="n">
        <x:v>6</x:v>
      </x:c>
      <x:c r="P11" s="20" t="n">
        <x:v>1</x:v>
      </x:c>
      <x:c r="Q11" s="20" t="n">
        <x:v>1</x:v>
      </x:c>
      <x:c r="R11" s="20" t="n">
        <x:v>1</x:v>
      </x:c>
      <x:c r="S11" s="20" t="n">
        <x:v>1</x:v>
      </x:c>
      <x:c r="T11" s="20" t="n">
        <x:v>1</x:v>
      </x:c>
      <x:c r="U11" s="20" t="n">
        <x:v>1</x:v>
      </x:c>
      <x:c r="V11" s="17" t="n">
        <x:v>1</x:v>
      </x:c>
    </x:row>
    <x:row r="12" ht="20" customHeight="1">
      <x:c r="A12" s="17" t="str">
        <x:v>P0006</x:v>
      </x:c>
      <x:c r="B12" s="17" t="str">
        <x:v>Q03</x:v>
      </x:c>
      <x:c r="C12" s="17" t="str">
        <x:v>L13</x:v>
      </x:c>
      <x:c r="D12" s="21" t="n">
        <x:v>3</x:v>
      </x:c>
      <x:c r="E12" s="21" t="n">
        <x:v>4</x:v>
      </x:c>
      <x:c r="F12" s="17" t="str">
        <x:v>完整单产品班次</x:v>
      </x:c>
      <x:c r="G12" s="18" t="n">
        <x:v>5310</x:v>
      </x:c>
      <x:c r="H12" s="18" t="n">
        <x:v>14160</x:v>
      </x:c>
      <x:c r="I12" s="18" t="n">
        <x:v>5310</x:v>
      </x:c>
      <x:c r="J12" s="18" t="n">
        <x:v>5310</x:v>
      </x:c>
      <x:c r="K12" s="20" t="n">
        <x:v>0</x:v>
      </x:c>
      <x:c r="L12" s="19" t="n">
        <x:v>1</x:v>
      </x:c>
      <x:c r="M12" s="18" t="n">
        <x:v>5310</x:v>
      </x:c>
      <x:c r="N12" s="18" t="n">
        <x:v>5310</x:v>
      </x:c>
      <x:c r="O12" s="21" t="n">
        <x:v>4</x:v>
      </x:c>
      <x:c r="P12" s="20" t="n">
        <x:v>1</x:v>
      </x:c>
      <x:c r="Q12" s="20" t="n">
        <x:v>1</x:v>
      </x:c>
      <x:c r="R12" s="20" t="n">
        <x:v>1</x:v>
      </x:c>
      <x:c r="S12" s="20" t="n">
        <x:v>1</x:v>
      </x:c>
      <x:c r="T12" s="20" t="n">
        <x:v>1</x:v>
      </x:c>
      <x:c r="U12" s="20" t="n">
        <x:v>1</x:v>
      </x:c>
      <x:c r="V12" s="17" t="n">
        <x:v>1</x:v>
      </x:c>
    </x:row>
    <x:row r="13" ht="20" customHeight="1">
      <x:c r="A13" s="17" t="str">
        <x:v>P0007</x:v>
      </x:c>
      <x:c r="B13" s="17" t="str">
        <x:v>Q07</x:v>
      </x:c>
      <x:c r="C13" s="17" t="str">
        <x:v>L07</x:v>
      </x:c>
      <x:c r="D13" s="21" t="n">
        <x:v>4</x:v>
      </x:c>
      <x:c r="E13" s="21" t="n">
        <x:v>4</x:v>
      </x:c>
      <x:c r="F13" s="17" t="str">
        <x:v>冲突或缺班次回退</x:v>
      </x:c>
      <x:c r="G13" s="18" t="n">
        <x:v>236.49999999999997</x:v>
      </x:c>
      <x:c r="H13" s="18" t="n">
        <x:v>236.49999999999997</x:v>
      </x:c>
      <x:c r="I13" s="18" t="n">
        <x:v>250</x:v>
      </x:c>
      <x:c r="J13" s="18" t="n">
        <x:v>236</x:v>
      </x:c>
      <x:c r="K13" s="20" t="n">
        <x:v>0.1998489028213166</x:v>
      </x:c>
      <x:c r="L13" s="19" t="n">
        <x:v>0.7266949152542372</x:v>
      </x:c>
      <x:c r="M13" s="18" t="n">
        <x:v>153.54999999999998</x:v>
      </x:c>
      <x:c r="N13" s="18" t="n">
        <x:v>250</x:v>
      </x:c>
      <x:c r="O13" s="21" t="n">
        <x:v>4</x:v>
      </x:c>
      <x:c r="P13" s="20" t="n">
        <x:v>1</x:v>
      </x:c>
      <x:c r="Q13" s="20" t="n">
        <x:v>1</x:v>
      </x:c>
      <x:c r="R13" s="20" t="n">
        <x:v>1</x:v>
      </x:c>
      <x:c r="S13" s="20" t="n">
        <x:v>1</x:v>
      </x:c>
      <x:c r="T13" s="20" t="n">
        <x:v>1</x:v>
      </x:c>
      <x:c r="U13" s="20" t="n">
        <x:v>1</x:v>
      </x:c>
      <x:c r="V13" s="17" t="n">
        <x:v>1</x:v>
      </x:c>
    </x:row>
    <x:row r="14" ht="20" customHeight="1">
      <x:c r="A14" s="17" t="str">
        <x:v>P0008</x:v>
      </x:c>
      <x:c r="B14" s="17" t="str">
        <x:v>Q03</x:v>
      </x:c>
      <x:c r="C14" s="17" t="str">
        <x:v>L05</x:v>
      </x:c>
      <x:c r="D14" s="21" t="n">
        <x:v>4</x:v>
      </x:c>
      <x:c r="E14" s="21" t="n">
        <x:v>5</x:v>
      </x:c>
      <x:c r="F14" s="17" t="str">
        <x:v>完整单产品班次</x:v>
      </x:c>
      <x:c r="G14" s="18" t="n">
        <x:v>2668</x:v>
      </x:c>
      <x:c r="H14" s="18" t="n">
        <x:v>4000</x:v>
      </x:c>
      <x:c r="I14" s="18" t="n">
        <x:v>2668</x:v>
      </x:c>
      <x:c r="J14" s="18" t="n">
        <x:v>2668</x:v>
      </x:c>
      <x:c r="K14" s="20" t="n">
        <x:v>0.0011122280570142536</x:v>
      </x:c>
      <x:c r="L14" s="19" t="n">
        <x:v>0.974512743628186</x:v>
      </x:c>
      <x:c r="M14" s="18" t="n">
        <x:v>2624.4</x:v>
      </x:c>
      <x:c r="N14" s="18" t="n">
        <x:v>2668</x:v>
      </x:c>
      <x:c r="O14" s="21" t="n">
        <x:v>5</x:v>
      </x:c>
      <x:c r="P14" s="20" t="n">
        <x:v>1</x:v>
      </x:c>
      <x:c r="Q14" s="20" t="n">
        <x:v>1</x:v>
      </x:c>
      <x:c r="R14" s="20" t="n">
        <x:v>1</x:v>
      </x:c>
      <x:c r="S14" s="20" t="n">
        <x:v>1</x:v>
      </x:c>
      <x:c r="T14" s="20" t="n">
        <x:v>1</x:v>
      </x:c>
      <x:c r="U14" s="20" t="n">
        <x:v>1</x:v>
      </x:c>
      <x:c r="V14" s="17" t="n">
        <x:v>1</x:v>
      </x:c>
    </x:row>
    <x:row r="15" ht="20" customHeight="1">
      <x:c r="A15" s="17" t="str">
        <x:v>P0009</x:v>
      </x:c>
      <x:c r="B15" s="17" t="str">
        <x:v>Q03</x:v>
      </x:c>
      <x:c r="C15" s="17" t="str">
        <x:v>L05</x:v>
      </x:c>
      <x:c r="D15" s="21" t="n">
        <x:v>2</x:v>
      </x:c>
      <x:c r="E15" s="21" t="n">
        <x:v>4</x:v>
      </x:c>
      <x:c r="F15" s="17" t="str">
        <x:v>完整单产品班次</x:v>
      </x:c>
      <x:c r="G15" s="18" t="n">
        <x:v>3000</x:v>
      </x:c>
      <x:c r="H15" s="18" t="n">
        <x:v>4000</x:v>
      </x:c>
      <x:c r="I15" s="18" t="n">
        <x:v>3000</x:v>
      </x:c>
      <x:c r="J15" s="18" t="n">
        <x:v>3000</x:v>
      </x:c>
      <x:c r="K15" s="20" t="n">
        <x:v>0</x:v>
      </x:c>
      <x:c r="L15" s="19" t="n">
        <x:v>1</x:v>
      </x:c>
      <x:c r="M15" s="18" t="n">
        <x:v>3000</x:v>
      </x:c>
      <x:c r="N15" s="18" t="n">
        <x:v>3000</x:v>
      </x:c>
      <x:c r="O15" s="21" t="n">
        <x:v>4</x:v>
      </x:c>
      <x:c r="P15" s="20" t="n">
        <x:v>1</x:v>
      </x:c>
      <x:c r="Q15" s="20" t="n">
        <x:v>1</x:v>
      </x:c>
      <x:c r="R15" s="20" t="n">
        <x:v>1</x:v>
      </x:c>
      <x:c r="S15" s="20" t="n">
        <x:v>1</x:v>
      </x:c>
      <x:c r="T15" s="20" t="n">
        <x:v>1</x:v>
      </x:c>
      <x:c r="U15" s="20" t="n">
        <x:v>1</x:v>
      </x:c>
      <x:c r="V15" s="17" t="n">
        <x:v>1</x:v>
      </x:c>
    </x:row>
    <x:row r="16" ht="20" customHeight="1">
      <x:c r="A16" s="17" t="str">
        <x:v>P0010</x:v>
      </x:c>
      <x:c r="B16" s="17" t="str">
        <x:v>Q03</x:v>
      </x:c>
      <x:c r="C16" s="17" t="str">
        <x:v>L05</x:v>
      </x:c>
      <x:c r="D16" s="21" t="n">
        <x:v>3</x:v>
      </x:c>
      <x:c r="E16" s="21" t="n">
        <x:v>3</x:v>
      </x:c>
      <x:c r="F16" s="17" t="str">
        <x:v>完整单产品班次</x:v>
      </x:c>
      <x:c r="G16" s="18" t="n">
        <x:v>3823.6</x:v>
      </x:c>
      <x:c r="H16" s="18" t="n">
        <x:v>4000</x:v>
      </x:c>
      <x:c r="I16" s="18" t="n">
        <x:v>4000</x:v>
      </x:c>
      <x:c r="J16" s="18" t="n">
        <x:v>3933</x:v>
      </x:c>
      <x:c r="K16" s="20" t="n">
        <x:v>1.1696361359570662</x:v>
      </x:c>
      <x:c r="L16" s="19" t="n">
        <x:v>0.5346215780998389</x:v>
      </x:c>
      <x:c r="M16" s="18" t="n">
        <x:v>72</x:v>
      </x:c>
      <x:c r="N16" s="18" t="n">
        <x:v>4000</x:v>
      </x:c>
      <x:c r="O16" s="21" t="n">
        <x:v>3</x:v>
      </x:c>
      <x:c r="P16" s="20" t="n">
        <x:v>1</x:v>
      </x:c>
      <x:c r="Q16" s="20" t="n">
        <x:v>1</x:v>
      </x:c>
      <x:c r="R16" s="20" t="n">
        <x:v>1</x:v>
      </x:c>
      <x:c r="S16" s="20" t="n">
        <x:v>1</x:v>
      </x:c>
      <x:c r="T16" s="20" t="n">
        <x:v>1</x:v>
      </x:c>
      <x:c r="U16" s="20" t="n">
        <x:v>1</x:v>
      </x:c>
      <x:c r="V16" s="17" t="n">
        <x:v>1</x:v>
      </x:c>
    </x:row>
    <x:row r="17" ht="20" customHeight="1">
      <x:c r="A17" s="17" t="str">
        <x:v>P0011</x:v>
      </x:c>
      <x:c r="B17" s="17" t="str">
        <x:v>Q03</x:v>
      </x:c>
      <x:c r="C17" s="17" t="str">
        <x:v>L01</x:v>
      </x:c>
      <x:c r="D17" s="21" t="n">
        <x:v>25</x:v>
      </x:c>
      <x:c r="E17" s="21" t="n">
        <x:v>25</x:v>
      </x:c>
      <x:c r="F17" s="17" t="str">
        <x:v>完整单产品班次</x:v>
      </x:c>
      <x:c r="G17" s="18" t="n">
        <x:v>13000</x:v>
      </x:c>
      <x:c r="H17" s="18" t="n">
        <x:v>23000</x:v>
      </x:c>
      <x:c r="I17" s="18" t="n">
        <x:v>13000</x:v>
      </x:c>
      <x:c r="J17" s="18" t="n">
        <x:v>13000</x:v>
      </x:c>
      <x:c r="K17" s="20" t="n">
        <x:v>0</x:v>
      </x:c>
      <x:c r="L17" s="19" t="n">
        <x:v>0.9907692307692307</x:v>
      </x:c>
      <x:c r="M17" s="18" t="n">
        <x:v>13000</x:v>
      </x:c>
      <x:c r="N17" s="18" t="n">
        <x:v>13000</x:v>
      </x:c>
      <x:c r="O17" s="21" t="n">
        <x:v>25</x:v>
      </x:c>
      <x:c r="P17" s="20" t="n">
        <x:v>0.08650519031141868</x:v>
      </x:c>
      <x:c r="Q17" s="20" t="n">
        <x:v>0</x:v>
      </x:c>
      <x:c r="R17" s="20" t="n">
        <x:v>1</x:v>
      </x:c>
      <x:c r="S17" s="20" t="n">
        <x:v>0.7646931719965417</x:v>
      </x:c>
      <x:c r="T17" s="20" t="n">
        <x:v>0.05785123966942148</x:v>
      </x:c>
      <x:c r="U17" s="20" t="n">
        <x:v>0.3645088823331927</x:v>
      </x:c>
      <x:c r="V17" s="17" t="n">
        <x:v>3</x:v>
      </x:c>
    </x:row>
    <x:row r="18" ht="20" customHeight="1">
      <x:c r="A18" s="17" t="str">
        <x:v>P0011</x:v>
      </x:c>
      <x:c r="B18" s="17" t="str">
        <x:v>Q03</x:v>
      </x:c>
      <x:c r="C18" s="17" t="str">
        <x:v>L02</x:v>
      </x:c>
      <x:c r="D18" s="21" t="n">
        <x:v>10</x:v>
      </x:c>
      <x:c r="E18" s="21" t="n">
        <x:v>11</x:v>
      </x:c>
      <x:c r="F18" s="17" t="str">
        <x:v>完整单产品班次</x:v>
      </x:c>
      <x:c r="G18" s="18" t="n">
        <x:v>15000</x:v>
      </x:c>
      <x:c r="H18" s="18" t="n">
        <x:v>33000</x:v>
      </x:c>
      <x:c r="I18" s="18" t="n">
        <x:v>15000</x:v>
      </x:c>
      <x:c r="J18" s="18" t="n">
        <x:v>15000</x:v>
      </x:c>
      <x:c r="K18" s="20" t="n">
        <x:v>0</x:v>
      </x:c>
      <x:c r="L18" s="19" t="n">
        <x:v>1</x:v>
      </x:c>
      <x:c r="M18" s="18" t="n">
        <x:v>15000</x:v>
      </x:c>
      <x:c r="N18" s="18" t="n">
        <x:v>15000</x:v>
      </x:c>
      <x:c r="O18" s="21" t="n">
        <x:v>11</x:v>
      </x:c>
      <x:c r="P18" s="20" t="n">
        <x:v>0.03806228373702422</x:v>
      </x:c>
      <x:c r="Q18" s="20" t="n">
        <x:v>1</x:v>
      </x:c>
      <x:c r="R18" s="20" t="n">
        <x:v>1</x:v>
      </x:c>
      <x:c r="S18" s="20" t="n">
        <x:v>1</x:v>
      </x:c>
      <x:c r="T18" s="20" t="n">
        <x:v>0</x:v>
      </x:c>
      <x:c r="U18" s="20" t="n">
        <x:v>0.8</x:v>
      </x:c>
      <x:c r="V18" s="17" t="n">
        <x:v>1</x:v>
      </x:c>
    </x:row>
    <x:row r="19" ht="20" customHeight="1">
      <x:c r="A19" s="17" t="str">
        <x:v>P0011</x:v>
      </x:c>
      <x:c r="B19" s="17" t="str">
        <x:v>Q03</x:v>
      </x:c>
      <x:c r="C19" s="17" t="str">
        <x:v>L09</x:v>
      </x:c>
      <x:c r="D19" s="21" t="n">
        <x:v>242</x:v>
      </x:c>
      <x:c r="E19" s="21" t="n">
        <x:v>253</x:v>
      </x:c>
      <x:c r="F19" s="17" t="str">
        <x:v>完整单产品班次</x:v>
      </x:c>
      <x:c r="G19" s="18" t="n">
        <x:v>15000</x:v>
      </x:c>
      <x:c r="H19" s="18" t="n">
        <x:v>19000</x:v>
      </x:c>
      <x:c r="I19" s="18" t="n">
        <x:v>15000</x:v>
      </x:c>
      <x:c r="J19" s="18" t="n">
        <x:v>15000</x:v>
      </x:c>
      <x:c r="K19" s="20" t="n">
        <x:v>0.1059</x:v>
      </x:c>
      <x:c r="L19" s="19" t="n">
        <x:v>0.960771349862259</x:v>
      </x:c>
      <x:c r="M19" s="18" t="n">
        <x:v>15000</x:v>
      </x:c>
      <x:c r="N19" s="18" t="n">
        <x:v>15000</x:v>
      </x:c>
      <x:c r="O19" s="21" t="n">
        <x:v>253</x:v>
      </x:c>
      <x:c r="P19" s="20" t="n">
        <x:v>0.8754325259515571</x:v>
      </x:c>
      <x:c r="Q19" s="20" t="n">
        <x:v>1</x:v>
      </x:c>
      <x:c r="R19" s="20" t="n">
        <x:v>0</x:v>
      </x:c>
      <x:c r="S19" s="20" t="n">
        <x:v>0</x:v>
      </x:c>
      <x:c r="T19" s="20" t="n">
        <x:v>1</x:v>
      </x:c>
      <x:c r="U19" s="20" t="n">
        <x:v>0.6000000000000001</x:v>
      </x:c>
      <x:c r="V19" s="17" t="n">
        <x:v>2</x:v>
      </x:c>
    </x:row>
    <x:row r="20" ht="20" customHeight="1">
      <x:c r="A20" s="17" t="str">
        <x:v>P0012</x:v>
      </x:c>
      <x:c r="B20" s="17" t="str">
        <x:v>Q03</x:v>
      </x:c>
      <x:c r="C20" s="17" t="str">
        <x:v>L09</x:v>
      </x:c>
      <x:c r="D20" s="21" t="n">
        <x:v>1</x:v>
      </x:c>
      <x:c r="E20" s="21" t="n">
        <x:v>3</x:v>
      </x:c>
      <x:c r="F20" s="17" t="str">
        <x:v>完整单产品班次</x:v>
      </x:c>
      <x:c r="G20" s="18" t="n">
        <x:v>9654</x:v>
      </x:c>
      <x:c r="H20" s="18" t="n">
        <x:v>19000</x:v>
      </x:c>
      <x:c r="I20" s="18" t="n">
        <x:v>9654</x:v>
      </x:c>
      <x:c r="J20" s="18" t="n">
        <x:v>9654</x:v>
      </x:c>
      <x:c r="K20" s="20" t="n">
        <x:v>0</x:v>
      </x:c>
      <x:c r="L20" s="19" t="n">
        <x:v>1</x:v>
      </x:c>
      <x:c r="M20" s="18" t="n">
        <x:v>9654</x:v>
      </x:c>
      <x:c r="N20" s="18" t="n">
        <x:v>9654</x:v>
      </x:c>
      <x:c r="O20" s="21" t="n">
        <x:v>3</x:v>
      </x:c>
      <x:c r="P20" s="20" t="n">
        <x:v>1</x:v>
      </x:c>
      <x:c r="Q20" s="20" t="n">
        <x:v>1</x:v>
      </x:c>
      <x:c r="R20" s="20" t="n">
        <x:v>1</x:v>
      </x:c>
      <x:c r="S20" s="20" t="n">
        <x:v>1</x:v>
      </x:c>
      <x:c r="T20" s="20" t="n">
        <x:v>1</x:v>
      </x:c>
      <x:c r="U20" s="20" t="n">
        <x:v>1</x:v>
      </x:c>
      <x:c r="V20" s="17" t="n">
        <x:v>1</x:v>
      </x:c>
    </x:row>
    <x:row r="21" ht="20" customHeight="1">
      <x:c r="A21" s="17" t="str">
        <x:v>P0013</x:v>
      </x:c>
      <x:c r="B21" s="17" t="str">
        <x:v>Q03</x:v>
      </x:c>
      <x:c r="C21" s="17" t="str">
        <x:v>L02</x:v>
      </x:c>
      <x:c r="D21" s="21" t="n">
        <x:v>2</x:v>
      </x:c>
      <x:c r="E21" s="21" t="n">
        <x:v>2</x:v>
      </x:c>
      <x:c r="F21" s="17" t="str">
        <x:v>冲突或缺班次回退</x:v>
      </x:c>
      <x:c r="G21" s="18" t="n">
        <x:v>35.4</x:v>
      </x:c>
      <x:c r="H21" s="18" t="n">
        <x:v>33000</x:v>
      </x:c>
      <x:c r="I21" s="18" t="n">
        <x:v>36</x:v>
      </x:c>
      <x:c r="J21" s="18" t="n">
        <x:v>36</x:v>
      </x:c>
      <x:c r="K21" s="20" t="n">
        <x:v>0.29652</x:v>
      </x:c>
      <x:c r="L21" s="19" t="n">
        <x:v>0.8333333333333334</x:v>
      </x:c>
      <x:c r="M21" s="18" t="n">
        <x:v>24</x:v>
      </x:c>
      <x:c r="N21" s="18" t="n">
        <x:v>36</x:v>
      </x:c>
      <x:c r="O21" s="21" t="n">
        <x:v>2</x:v>
      </x:c>
      <x:c r="P21" s="20" t="n">
        <x:v>0.00425531914893617</x:v>
      </x:c>
      <x:c r="Q21" s="20" t="n">
        <x:v>0</x:v>
      </x:c>
      <x:c r="R21" s="20" t="n">
        <x:v>0</x:v>
      </x:c>
      <x:c r="S21" s="20" t="n">
        <x:v>0.13832199546485277</x:v>
      </x:c>
      <x:c r="T21" s="20" t="n">
        <x:v>0</x:v>
      </x:c>
      <x:c r="U21" s="20" t="n">
        <x:v>0.027664399092970554</x:v>
      </x:c>
      <x:c r="V21" s="17" t="n">
        <x:v>6</x:v>
      </x:c>
    </x:row>
    <x:row r="22" ht="20" customHeight="1">
      <x:c r="A22" s="17" t="str">
        <x:v>P0013</x:v>
      </x:c>
      <x:c r="B22" s="17" t="str">
        <x:v>Q03</x:v>
      </x:c>
      <x:c r="C22" s="17" t="str">
        <x:v>L06</x:v>
      </x:c>
      <x:c r="D22" s="21" t="n">
        <x:v>102</x:v>
      </x:c>
      <x:c r="E22" s="21" t="n">
        <x:v>109</x:v>
      </x:c>
      <x:c r="F22" s="17" t="str">
        <x:v>完整单产品班次</x:v>
      </x:c>
      <x:c r="G22" s="18" t="n">
        <x:v>34000</x:v>
      </x:c>
      <x:c r="H22" s="18" t="n">
        <x:v>34000</x:v>
      </x:c>
      <x:c r="I22" s="18" t="n">
        <x:v>34000</x:v>
      </x:c>
      <x:c r="J22" s="18" t="n">
        <x:v>34000</x:v>
      </x:c>
      <x:c r="K22" s="20" t="n">
        <x:v>0</x:v>
      </x:c>
      <x:c r="L22" s="19" t="n">
        <x:v>0.9610726643598616</x:v>
      </x:c>
      <x:c r="M22" s="18" t="n">
        <x:v>34000</x:v>
      </x:c>
      <x:c r="N22" s="18" t="n">
        <x:v>34000</x:v>
      </x:c>
      <x:c r="O22" s="21" t="n">
        <x:v>109</x:v>
      </x:c>
      <x:c r="P22" s="20" t="n">
        <x:v>0.23191489361702128</x:v>
      </x:c>
      <x:c r="Q22" s="20" t="n">
        <x:v>0.9713991534149411</x:v>
      </x:c>
      <x:c r="R22" s="20" t="n">
        <x:v>1</x:v>
      </x:c>
      <x:c r="S22" s="20" t="n">
        <x:v>0.7987430266224137</x:v>
      </x:c>
      <x:c r="T22" s="20" t="n">
        <x:v>0.6815286624203822</x:v>
      </x:c>
      <x:c r="U22" s="20" t="n">
        <x:v>0.8846139991745356</x:v>
      </x:c>
      <x:c r="V22" s="17" t="n">
        <x:v>2</x:v>
      </x:c>
    </x:row>
    <x:row r="23" ht="20" customHeight="1">
      <x:c r="A23" s="17" t="str">
        <x:v>P0013</x:v>
      </x:c>
      <x:c r="B23" s="17" t="str">
        <x:v>Q03</x:v>
      </x:c>
      <x:c r="C23" s="17" t="str">
        <x:v>L08</x:v>
      </x:c>
      <x:c r="D23" s="21" t="n">
        <x:v>100</x:v>
      </x:c>
      <x:c r="E23" s="21" t="n">
        <x:v>104</x:v>
      </x:c>
      <x:c r="F23" s="17" t="str">
        <x:v>完整单产品班次</x:v>
      </x:c>
      <x:c r="G23" s="18" t="n">
        <x:v>35000</x:v>
      </x:c>
      <x:c r="H23" s="18" t="n">
        <x:v>35000</x:v>
      </x:c>
      <x:c r="I23" s="18" t="n">
        <x:v>35000</x:v>
      </x:c>
      <x:c r="J23" s="18" t="n">
        <x:v>35000</x:v>
      </x:c>
      <x:c r="K23" s="20" t="n">
        <x:v>0</x:v>
      </x:c>
      <x:c r="L23" s="19" t="n">
        <x:v>0.8594285714285714</x:v>
      </x:c>
      <x:c r="M23" s="18" t="n">
        <x:v>35000</x:v>
      </x:c>
      <x:c r="N23" s="18" t="n">
        <x:v>35000</x:v>
      </x:c>
      <x:c r="O23" s="21" t="n">
        <x:v>104</x:v>
      </x:c>
      <x:c r="P23" s="20" t="n">
        <x:v>0.22127659574468084</x:v>
      </x:c>
      <x:c r="Q23" s="20" t="n">
        <x:v>1</x:v>
      </x:c>
      <x:c r="R23" s="20" t="n">
        <x:v>1</x:v>
      </x:c>
      <x:c r="S23" s="20" t="n">
        <x:v>0.2732361516034985</x:v>
      </x:c>
      <x:c r="T23" s="20" t="n">
        <x:v>0.6496815286624203</x:v>
      </x:c>
      <x:c r="U23" s="20" t="n">
        <x:v>0.7845835360531839</x:v>
      </x:c>
      <x:c r="V23" s="17" t="n">
        <x:v>3</x:v>
      </x:c>
    </x:row>
    <x:row r="24" ht="20" customHeight="1">
      <x:c r="A24" s="17" t="str">
        <x:v>P0013</x:v>
      </x:c>
      <x:c r="B24" s="17" t="str">
        <x:v>Q03</x:v>
      </x:c>
      <x:c r="C24" s="17" t="str">
        <x:v>L11</x:v>
      </x:c>
      <x:c r="D24" s="21" t="n">
        <x:v>159</x:v>
      </x:c>
      <x:c r="E24" s="21" t="n">
        <x:v>159</x:v>
      </x:c>
      <x:c r="F24" s="17" t="str">
        <x:v>完整单产品班次</x:v>
      </x:c>
      <x:c r="G24" s="18" t="n">
        <x:v>35000</x:v>
      </x:c>
      <x:c r="H24" s="18" t="n">
        <x:v>35000</x:v>
      </x:c>
      <x:c r="I24" s="18" t="n">
        <x:v>35000</x:v>
      </x:c>
      <x:c r="J24" s="18" t="n">
        <x:v>35000</x:v>
      </x:c>
      <x:c r="K24" s="20" t="n">
        <x:v>0</x:v>
      </x:c>
      <x:c r="L24" s="19" t="n">
        <x:v>0.9991015274034142</x:v>
      </x:c>
      <x:c r="M24" s="18" t="n">
        <x:v>35000</x:v>
      </x:c>
      <x:c r="N24" s="18" t="n">
        <x:v>35000</x:v>
      </x:c>
      <x:c r="O24" s="21" t="n">
        <x:v>159</x:v>
      </x:c>
      <x:c r="P24" s="20" t="n">
        <x:v>0.3382978723404255</x:v>
      </x:c>
      <x:c r="Q24" s="20" t="n">
        <x:v>1</x:v>
      </x:c>
      <x:c r="R24" s="20" t="n">
        <x:v>1</x:v>
      </x:c>
      <x:c r="S24" s="20" t="n">
        <x:v>0.9953548355550665</x:v>
      </x:c>
      <x:c r="T24" s="20" t="n">
        <x:v>1</x:v>
      </x:c>
      <x:c r="U24" s="20" t="n">
        <x:v>0.9990709671110134</x:v>
      </x:c>
      <x:c r="V24" s="17" t="n">
        <x:v>1</x:v>
      </x:c>
    </x:row>
    <x:row r="25" ht="20" customHeight="1">
      <x:c r="A25" s="17" t="str">
        <x:v>P0013</x:v>
      </x:c>
      <x:c r="B25" s="17" t="str">
        <x:v>Q03</x:v>
      </x:c>
      <x:c r="C25" s="17" t="str">
        <x:v>L12</x:v>
      </x:c>
      <x:c r="D25" s="21" t="n">
        <x:v>76</x:v>
      </x:c>
      <x:c r="E25" s="21" t="n">
        <x:v>77</x:v>
      </x:c>
      <x:c r="F25" s="17" t="str">
        <x:v>完整单产品班次</x:v>
      </x:c>
      <x:c r="G25" s="18" t="n">
        <x:v>35000</x:v>
      </x:c>
      <x:c r="H25" s="18" t="n">
        <x:v>35000</x:v>
      </x:c>
      <x:c r="I25" s="18" t="n">
        <x:v>35000</x:v>
      </x:c>
      <x:c r="J25" s="18" t="n">
        <x:v>35000</x:v>
      </x:c>
      <x:c r="K25" s="20" t="n">
        <x:v>0</x:v>
      </x:c>
      <x:c r="L25" s="19" t="n">
        <x:v>0.8065789473684211</x:v>
      </x:c>
      <x:c r="M25" s="18" t="n">
        <x:v>35000</x:v>
      </x:c>
      <x:c r="N25" s="18" t="n">
        <x:v>35000</x:v>
      </x:c>
      <x:c r="O25" s="21" t="n">
        <x:v>77</x:v>
      </x:c>
      <x:c r="P25" s="20" t="n">
        <x:v>0.16382978723404254</x:v>
      </x:c>
      <x:c r="Q25" s="20" t="n">
        <x:v>1</x:v>
      </x:c>
      <x:c r="R25" s="20" t="n">
        <x:v>1</x:v>
      </x:c>
      <x:c r="S25" s="20" t="n">
        <x:v>0</x:v>
      </x:c>
      <x:c r="T25" s="20" t="n">
        <x:v>0.4777070063694267</x:v>
      </x:c>
      <x:c r="U25" s="20" t="n">
        <x:v>0.6955414012738854</x:v>
      </x:c>
      <x:c r="V25" s="17" t="n">
        <x:v>5</x:v>
      </x:c>
    </x:row>
    <x:row r="26" ht="20" customHeight="1">
      <x:c r="A26" s="17" t="str">
        <x:v>P0013</x:v>
      </x:c>
      <x:c r="B26" s="17" t="str">
        <x:v>Q03</x:v>
      </x:c>
      <x:c r="C26" s="17" t="str">
        <x:v>L14</x:v>
      </x:c>
      <x:c r="D26" s="21" t="n">
        <x:v>14</x:v>
      </x:c>
      <x:c r="E26" s="21" t="n">
        <x:v>19</x:v>
      </x:c>
      <x:c r="F26" s="17" t="str">
        <x:v>完整单产品班次</x:v>
      </x:c>
      <x:c r="G26" s="18" t="n">
        <x:v>28000</x:v>
      </x:c>
      <x:c r="H26" s="18" t="n">
        <x:v>28000</x:v>
      </x:c>
      <x:c r="I26" s="18" t="n">
        <x:v>28000</x:v>
      </x:c>
      <x:c r="J26" s="18" t="n">
        <x:v>28000</x:v>
      </x:c>
      <x:c r="K26" s="20" t="n">
        <x:v>0</x:v>
      </x:c>
      <x:c r="L26" s="19" t="n">
        <x:v>1</x:v>
      </x:c>
      <x:c r="M26" s="18" t="n">
        <x:v>28000</x:v>
      </x:c>
      <x:c r="N26" s="18" t="n">
        <x:v>28000</x:v>
      </x:c>
      <x:c r="O26" s="21" t="n">
        <x:v>19</x:v>
      </x:c>
      <x:c r="P26" s="20" t="n">
        <x:v>0.04042553191489362</x:v>
      </x:c>
      <x:c r="Q26" s="20" t="n">
        <x:v>0.7997940739045876</x:v>
      </x:c>
      <x:c r="R26" s="20" t="n">
        <x:v>1</x:v>
      </x:c>
      <x:c r="S26" s="20" t="n">
        <x:v>1</x:v>
      </x:c>
      <x:c r="T26" s="20" t="n">
        <x:v>0.10828025477707008</x:v>
      </x:c>
      <x:c r="U26" s="20" t="n">
        <x:v>0.741573680517249</x:v>
      </x:c>
      <x:c r="V26" s="17" t="n">
        <x:v>4</x:v>
      </x:c>
    </x:row>
    <x:row r="27" ht="20" customHeight="1">
      <x:c r="A27" s="17" t="str">
        <x:v>P0014</x:v>
      </x:c>
      <x:c r="B27" s="17" t="str">
        <x:v>Q03</x:v>
      </x:c>
      <x:c r="C27" s="17" t="str">
        <x:v>L01</x:v>
      </x:c>
      <x:c r="D27" s="21" t="n">
        <x:v>27</x:v>
      </x:c>
      <x:c r="E27" s="21" t="n">
        <x:v>27</x:v>
      </x:c>
      <x:c r="F27" s="17" t="str">
        <x:v>完整单产品班次</x:v>
      </x:c>
      <x:c r="G27" s="18" t="n">
        <x:v>23000</x:v>
      </x:c>
      <x:c r="H27" s="18" t="n">
        <x:v>23000</x:v>
      </x:c>
      <x:c r="I27" s="18" t="n">
        <x:v>23000</x:v>
      </x:c>
      <x:c r="J27" s="18" t="n">
        <x:v>23000</x:v>
      </x:c>
      <x:c r="K27" s="20" t="n">
        <x:v>0</x:v>
      </x:c>
      <x:c r="L27" s="19" t="n">
        <x:v>0.9661835748792271</x:v>
      </x:c>
      <x:c r="M27" s="18" t="n">
        <x:v>23000</x:v>
      </x:c>
      <x:c r="N27" s="18" t="n">
        <x:v>23000</x:v>
      </x:c>
      <x:c r="O27" s="21" t="n">
        <x:v>27</x:v>
      </x:c>
      <x:c r="P27" s="20" t="n">
        <x:v>0.03580901856763926</x:v>
      </x:c>
      <x:c r="Q27" s="20" t="n">
        <x:v>0.2089183094493344</x:v>
      </x:c>
      <x:c r="R27" s="20" t="n">
        <x:v>1</x:v>
      </x:c>
      <x:c r="S27" s="20" t="n">
        <x:v>0.24800794074293567</x:v>
      </x:c>
      <x:c r="T27" s="20" t="n">
        <x:v>0.10236220472440945</x:v>
      </x:c>
      <x:c r="U27" s="20" t="n">
        <x:v>0.35364135287320275</x:v>
      </x:c>
      <x:c r="V27" s="17" t="n">
        <x:v>8</x:v>
      </x:c>
    </x:row>
    <x:row r="28" ht="20" customHeight="1">
      <x:c r="A28" s="17" t="str">
        <x:v>P0014</x:v>
      </x:c>
      <x:c r="B28" s="17" t="str">
        <x:v>Q03</x:v>
      </x:c>
      <x:c r="C28" s="17" t="str">
        <x:v>L02</x:v>
      </x:c>
      <x:c r="D28" s="21" t="n">
        <x:v>1</x:v>
      </x:c>
      <x:c r="E28" s="21" t="n">
        <x:v>1</x:v>
      </x:c>
      <x:c r="F28" s="17" t="str">
        <x:v>冲突或缺班次回退</x:v>
      </x:c>
      <x:c r="G28" s="18" t="n">
        <x:v>24</x:v>
      </x:c>
      <x:c r="H28" s="18" t="n">
        <x:v>33000</x:v>
      </x:c>
      <x:c r="I28" s="18" t="n">
        <x:v>24</x:v>
      </x:c>
      <x:c r="J28" s="18" t="n">
        <x:v>24</x:v>
      </x:c>
      <x:c r="K28" s="20" t="n">
        <x:v>0</x:v>
      </x:c>
      <x:c r="L28" s="19" t="n">
        <x:v>1</x:v>
      </x:c>
      <x:c r="M28" s="18" t="n">
        <x:v>24</x:v>
      </x:c>
      <x:c r="N28" s="18" t="n">
        <x:v>24</x:v>
      </x:c>
      <x:c r="O28" s="21" t="n">
        <x:v>1</x:v>
      </x:c>
      <x:c r="P28" s="20" t="n">
        <x:v>0.001326259946949602</x:v>
      </x:c>
      <x:c r="Q28" s="20" t="n">
        <x:v>0</x:v>
      </x:c>
      <x:c r="R28" s="20" t="n">
        <x:v>1</x:v>
      </x:c>
      <x:c r="S28" s="20" t="n">
        <x:v>0.4129724986126706</x:v>
      </x:c>
      <x:c r="T28" s="20" t="n">
        <x:v>0</x:v>
      </x:c>
      <x:c r="U28" s="20" t="n">
        <x:v>0.28259449972253414</x:v>
      </x:c>
      <x:c r="V28" s="17" t="n">
        <x:v>9</x:v>
      </x:c>
    </x:row>
    <x:row r="29" ht="20" customHeight="1">
      <x:c r="A29" s="17" t="str">
        <x:v>P0014</x:v>
      </x:c>
      <x:c r="B29" s="17" t="str">
        <x:v>Q03</x:v>
      </x:c>
      <x:c r="C29" s="17" t="str">
        <x:v>L03</x:v>
      </x:c>
      <x:c r="D29" s="21" t="n">
        <x:v>1</x:v>
      </x:c>
      <x:c r="E29" s="21" t="n">
        <x:v>1</x:v>
      </x:c>
      <x:c r="F29" s="17" t="str">
        <x:v>冲突或缺班次回退</x:v>
      </x:c>
      <x:c r="G29" s="18" t="n">
        <x:v>35000</x:v>
      </x:c>
      <x:c r="H29" s="18" t="n">
        <x:v>42000</x:v>
      </x:c>
      <x:c r="I29" s="18" t="n">
        <x:v>35000</x:v>
      </x:c>
      <x:c r="J29" s="18" t="n">
        <x:v>35000</x:v>
      </x:c>
      <x:c r="K29" s="20" t="n">
        <x:v>0</x:v>
      </x:c>
      <x:c r="L29" s="19" t="n">
        <x:v>1</x:v>
      </x:c>
      <x:c r="M29" s="18" t="n">
        <x:v>35000</x:v>
      </x:c>
      <x:c r="N29" s="18" t="n">
        <x:v>35000</x:v>
      </x:c>
      <x:c r="O29" s="21" t="n">
        <x:v>1</x:v>
      </x:c>
      <x:c r="P29" s="20" t="n">
        <x:v>0.001326259946949602</x:v>
      </x:c>
      <x:c r="Q29" s="20" t="n">
        <x:v>0.3180330253873572</x:v>
      </x:c>
      <x:c r="R29" s="20" t="n">
        <x:v>1</x:v>
      </x:c>
      <x:c r="S29" s="20" t="n">
        <x:v>0.4129724986126706</x:v>
      </x:c>
      <x:c r="T29" s="20" t="n">
        <x:v>0</x:v>
      </x:c>
      <x:c r="U29" s="20" t="n">
        <x:v>0.409807709877477</x:v>
      </x:c>
      <x:c r="V29" s="17" t="n">
        <x:v>6</x:v>
      </x:c>
    </x:row>
    <x:row r="30" ht="20" customHeight="1">
      <x:c r="A30" s="17" t="str">
        <x:v>P0014</x:v>
      </x:c>
      <x:c r="B30" s="17" t="str">
        <x:v>Q03</x:v>
      </x:c>
      <x:c r="C30" s="17" t="str">
        <x:v>L06</x:v>
      </x:c>
      <x:c r="D30" s="21" t="n">
        <x:v>91</x:v>
      </x:c>
      <x:c r="E30" s="21" t="n">
        <x:v>112</x:v>
      </x:c>
      <x:c r="F30" s="17" t="str">
        <x:v>完整单产品班次</x:v>
      </x:c>
      <x:c r="G30" s="18" t="n">
        <x:v>34000</x:v>
      </x:c>
      <x:c r="H30" s="18" t="n">
        <x:v>34000</x:v>
      </x:c>
      <x:c r="I30" s="18" t="n">
        <x:v>34000</x:v>
      </x:c>
      <x:c r="J30" s="18" t="n">
        <x:v>34000</x:v>
      </x:c>
      <x:c r="K30" s="20" t="n">
        <x:v>0</x:v>
      </x:c>
      <x:c r="L30" s="19" t="n">
        <x:v>0.9699418228829993</x:v>
      </x:c>
      <x:c r="M30" s="18" t="n">
        <x:v>34000</x:v>
      </x:c>
      <x:c r="N30" s="18" t="n">
        <x:v>34000</x:v>
      </x:c>
      <x:c r="O30" s="21" t="n">
        <x:v>112</x:v>
      </x:c>
      <x:c r="P30" s="20" t="n">
        <x:v>0.14854111405835543</x:v>
      </x:c>
      <x:c r="Q30" s="20" t="n">
        <x:v>0.308940132392522</x:v>
      </x:c>
      <x:c r="R30" s="20" t="n">
        <x:v>1</x:v>
      </x:c>
      <x:c r="S30" s="20" t="n">
        <x:v>0.2663415676148742</x:v>
      </x:c>
      <x:c r="T30" s="20" t="n">
        <x:v>0.43700787401574803</x:v>
      </x:c>
      <x:c r="U30" s="20" t="n">
        <x:v>0.46424594128313323</x:v>
      </x:c>
      <x:c r="V30" s="17" t="n">
        <x:v>4</x:v>
      </x:c>
    </x:row>
    <x:row r="31" ht="20" customHeight="1">
      <x:c r="A31" s="17" t="str">
        <x:v>P0014</x:v>
      </x:c>
      <x:c r="B31" s="17" t="str">
        <x:v>Q03</x:v>
      </x:c>
      <x:c r="C31" s="17" t="str">
        <x:v>L08</x:v>
      </x:c>
      <x:c r="D31" s="21" t="n">
        <x:v>54</x:v>
      </x:c>
      <x:c r="E31" s="21" t="n">
        <x:v>58</x:v>
      </x:c>
      <x:c r="F31" s="17" t="str">
        <x:v>完整单产品班次</x:v>
      </x:c>
      <x:c r="G31" s="18" t="n">
        <x:v>35000</x:v>
      </x:c>
      <x:c r="H31" s="18" t="n">
        <x:v>35000</x:v>
      </x:c>
      <x:c r="I31" s="18" t="n">
        <x:v>35000</x:v>
      </x:c>
      <x:c r="J31" s="18" t="n">
        <x:v>35000</x:v>
      </x:c>
      <x:c r="K31" s="20" t="n">
        <x:v>0</x:v>
      </x:c>
      <x:c r="L31" s="19" t="n">
        <x:v>0.9153439153439153</x:v>
      </x:c>
      <x:c r="M31" s="18" t="n">
        <x:v>35000</x:v>
      </x:c>
      <x:c r="N31" s="18" t="n">
        <x:v>35000</x:v>
      </x:c>
      <x:c r="O31" s="21" t="n">
        <x:v>58</x:v>
      </x:c>
      <x:c r="P31" s="20" t="n">
        <x:v>0.07692307692307693</x:v>
      </x:c>
      <x:c r="Q31" s="20" t="n">
        <x:v>0.3180330253873572</x:v>
      </x:c>
      <x:c r="R31" s="20" t="n">
        <x:v>1</x:v>
      </x:c>
      <x:c r="S31" s="20" t="n">
        <x:v>0</x:v>
      </x:c>
      <x:c r="T31" s="20" t="n">
        <x:v>0.22440944881889766</x:v>
      </x:c>
      <x:c r="U31" s="20" t="n">
        <x:v>0.3720950999187224</x:v>
      </x:c>
      <x:c r="V31" s="17" t="n">
        <x:v>7</x:v>
      </x:c>
    </x:row>
    <x:row r="32" ht="20" customHeight="1">
      <x:c r="A32" s="17" t="str">
        <x:v>P0014</x:v>
      </x:c>
      <x:c r="B32" s="17" t="str">
        <x:v>Q03</x:v>
      </x:c>
      <x:c r="C32" s="17" t="str">
        <x:v>L10</x:v>
      </x:c>
      <x:c r="D32" s="21" t="n">
        <x:v>247</x:v>
      </x:c>
      <x:c r="E32" s="21" t="n">
        <x:v>255</x:v>
      </x:c>
      <x:c r="F32" s="17" t="str">
        <x:v>完整单产品班次</x:v>
      </x:c>
      <x:c r="G32" s="18" t="n">
        <x:v>110000</x:v>
      </x:c>
      <x:c r="H32" s="18" t="n">
        <x:v>110000</x:v>
      </x:c>
      <x:c r="I32" s="18" t="n">
        <x:v>110000</x:v>
      </x:c>
      <x:c r="J32" s="18" t="n">
        <x:v>110000</x:v>
      </x:c>
      <x:c r="K32" s="20" t="n">
        <x:v>0</x:v>
      </x:c>
      <x:c r="L32" s="19" t="n">
        <x:v>0.9942951785057048</x:v>
      </x:c>
      <x:c r="M32" s="18" t="n">
        <x:v>110000</x:v>
      </x:c>
      <x:c r="N32" s="18" t="n">
        <x:v>110000</x:v>
      </x:c>
      <x:c r="O32" s="21" t="n">
        <x:v>255</x:v>
      </x:c>
      <x:c r="P32" s="20" t="n">
        <x:v>0.33819628647214856</x:v>
      </x:c>
      <x:c r="Q32" s="20" t="n">
        <x:v>1</x:v>
      </x:c>
      <x:c r="R32" s="20" t="n">
        <x:v>1</x:v>
      </x:c>
      <x:c r="S32" s="20" t="n">
        <x:v>0.385143023670505</x:v>
      </x:c>
      <x:c r="T32" s="20" t="n">
        <x:v>1</x:v>
      </x:c>
      <x:c r="U32" s="20" t="n">
        <x:v>0.8770286047341012</x:v>
      </x:c>
      <x:c r="V32" s="17" t="n">
        <x:v>1</x:v>
      </x:c>
    </x:row>
    <x:row r="33" ht="20" customHeight="1">
      <x:c r="A33" s="17" t="str">
        <x:v>P0014</x:v>
      </x:c>
      <x:c r="B33" s="17" t="str">
        <x:v>Q03</x:v>
      </x:c>
      <x:c r="C33" s="17" t="str">
        <x:v>L11</x:v>
      </x:c>
      <x:c r="D33" s="21" t="n">
        <x:v>215</x:v>
      </x:c>
      <x:c r="E33" s="21" t="n">
        <x:v>219</x:v>
      </x:c>
      <x:c r="F33" s="17" t="str">
        <x:v>完整单产品班次</x:v>
      </x:c>
      <x:c r="G33" s="18" t="n">
        <x:v>35000</x:v>
      </x:c>
      <x:c r="H33" s="18" t="n">
        <x:v>35000</x:v>
      </x:c>
      <x:c r="I33" s="18" t="n">
        <x:v>35000</x:v>
      </x:c>
      <x:c r="J33" s="18" t="n">
        <x:v>35000</x:v>
      </x:c>
      <x:c r="K33" s="20" t="n">
        <x:v>0</x:v>
      </x:c>
      <x:c r="L33" s="19" t="n">
        <x:v>1</x:v>
      </x:c>
      <x:c r="M33" s="18" t="n">
        <x:v>35000</x:v>
      </x:c>
      <x:c r="N33" s="18" t="n">
        <x:v>35000</x:v>
      </x:c>
      <x:c r="O33" s="21" t="n">
        <x:v>219</x:v>
      </x:c>
      <x:c r="P33" s="20" t="n">
        <x:v>0.29045092838196285</x:v>
      </x:c>
      <x:c r="Q33" s="20" t="n">
        <x:v>0.3180330253873572</x:v>
      </x:c>
      <x:c r="R33" s="20" t="n">
        <x:v>1</x:v>
      </x:c>
      <x:c r="S33" s="20" t="n">
        <x:v>0.4129724986126706</x:v>
      </x:c>
      <x:c r="T33" s="20" t="n">
        <x:v>0.858267716535433</x:v>
      </x:c>
      <x:c r="U33" s="20" t="n">
        <x:v>0.5814612531845635</x:v>
      </x:c>
      <x:c r="V33" s="17" t="n">
        <x:v>2</x:v>
      </x:c>
    </x:row>
    <x:row r="34" ht="20" customHeight="1">
      <x:c r="A34" s="17" t="str">
        <x:v>P0014</x:v>
      </x:c>
      <x:c r="B34" s="17" t="str">
        <x:v>Q03</x:v>
      </x:c>
      <x:c r="C34" s="17" t="str">
        <x:v>L12</x:v>
      </x:c>
      <x:c r="D34" s="21" t="n">
        <x:v>49</x:v>
      </x:c>
      <x:c r="E34" s="21" t="n">
        <x:v>50</x:v>
      </x:c>
      <x:c r="F34" s="17" t="str">
        <x:v>完整单产品班次</x:v>
      </x:c>
      <x:c r="G34" s="18" t="n">
        <x:v>35000</x:v>
      </x:c>
      <x:c r="H34" s="18" t="n">
        <x:v>35000</x:v>
      </x:c>
      <x:c r="I34" s="18" t="n">
        <x:v>35000</x:v>
      </x:c>
      <x:c r="J34" s="18" t="n">
        <x:v>35000</x:v>
      </x:c>
      <x:c r="K34" s="20" t="n">
        <x:v>0</x:v>
      </x:c>
      <x:c r="L34" s="19" t="n">
        <x:v>1</x:v>
      </x:c>
      <x:c r="M34" s="18" t="n">
        <x:v>35000</x:v>
      </x:c>
      <x:c r="N34" s="18" t="n">
        <x:v>35000</x:v>
      </x:c>
      <x:c r="O34" s="21" t="n">
        <x:v>50</x:v>
      </x:c>
      <x:c r="P34" s="20" t="n">
        <x:v>0.06631299734748011</x:v>
      </x:c>
      <x:c r="Q34" s="20" t="n">
        <x:v>0.3180330253873572</x:v>
      </x:c>
      <x:c r="R34" s="20" t="n">
        <x:v>1</x:v>
      </x:c>
      <x:c r="S34" s="20" t="n">
        <x:v>0.4129724986126706</x:v>
      </x:c>
      <x:c r="T34" s="20" t="n">
        <x:v>0.1929133858267717</x:v>
      </x:c>
      <x:c r="U34" s="20" t="n">
        <x:v>0.44839038704283135</x:v>
      </x:c>
      <x:c r="V34" s="17" t="n">
        <x:v>5</x:v>
      </x:c>
    </x:row>
    <x:row r="35" ht="20" customHeight="1">
      <x:c r="A35" s="17" t="str">
        <x:v>P0014</x:v>
      </x:c>
      <x:c r="B35" s="17" t="str">
        <x:v>Q03</x:v>
      </x:c>
      <x:c r="C35" s="17" t="str">
        <x:v>L14</x:v>
      </x:c>
      <x:c r="D35" s="21" t="n">
        <x:v>27</x:v>
      </x:c>
      <x:c r="E35" s="21" t="n">
        <x:v>31</x:v>
      </x:c>
      <x:c r="F35" s="17" t="str">
        <x:v>完整单产品班次</x:v>
      </x:c>
      <x:c r="G35" s="18" t="n">
        <x:v>28000</x:v>
      </x:c>
      <x:c r="H35" s="18" t="n">
        <x:v>28000</x:v>
      </x:c>
      <x:c r="I35" s="18" t="n">
        <x:v>118974</x:v>
      </x:c>
      <x:c r="J35" s="18" t="n">
        <x:v>28000</x:v>
      </x:c>
      <x:c r="K35" s="20" t="n">
        <x:v>0</x:v>
      </x:c>
      <x:c r="L35" s="19" t="n">
        <x:v>1.1203359788359788</x:v>
      </x:c>
      <x:c r="M35" s="18" t="n">
        <x:v>28000</x:v>
      </x:c>
      <x:c r="N35" s="18" t="n">
        <x:v>118974</x:v>
      </x:c>
      <x:c r="O35" s="21" t="n">
        <x:v>31</x:v>
      </x:c>
      <x:c r="P35" s="20" t="n">
        <x:v>0.04111405835543767</x:v>
      </x:c>
      <x:c r="Q35" s="20" t="n">
        <x:v>0.2543827744235106</x:v>
      </x:c>
      <x:c r="R35" s="20" t="n">
        <x:v>1</x:v>
      </x:c>
      <x:c r="S35" s="20" t="n">
        <x:v>1</x:v>
      </x:c>
      <x:c r="T35" s="20" t="n">
        <x:v>0.11811023622047244</x:v>
      </x:c>
      <x:c r="U35" s="20" t="n">
        <x:v>0.5253751570134988</x:v>
      </x:c>
      <x:c r="V35" s="17" t="n">
        <x:v>3</x:v>
      </x:c>
    </x:row>
    <x:row r="36" ht="20" customHeight="1">
      <x:c r="A36" s="17" t="str">
        <x:v>P0015</x:v>
      </x:c>
      <x:c r="B36" s="17" t="str">
        <x:v>Q03</x:v>
      </x:c>
      <x:c r="C36" s="17" t="str">
        <x:v>L02</x:v>
      </x:c>
      <x:c r="D36" s="21" t="n">
        <x:v>1</x:v>
      </x:c>
      <x:c r="E36" s="21" t="n">
        <x:v>1</x:v>
      </x:c>
      <x:c r="F36" s="17" t="str">
        <x:v>冲突或缺班次回退</x:v>
      </x:c>
      <x:c r="G36" s="18" t="n">
        <x:v>26</x:v>
      </x:c>
      <x:c r="H36" s="18" t="n">
        <x:v>33000</x:v>
      </x:c>
      <x:c r="I36" s="18" t="n">
        <x:v>26</x:v>
      </x:c>
      <x:c r="J36" s="18" t="n">
        <x:v>26</x:v>
      </x:c>
      <x:c r="K36" s="20" t="n">
        <x:v>0</x:v>
      </x:c>
      <x:c r="L36" s="19" t="n">
        <x:v>1</x:v>
      </x:c>
      <x:c r="M36" s="18" t="n">
        <x:v>26</x:v>
      </x:c>
      <x:c r="N36" s="18" t="n">
        <x:v>26</x:v>
      </x:c>
      <x:c r="O36" s="21" t="n">
        <x:v>1</x:v>
      </x:c>
      <x:c r="P36" s="20" t="n">
        <x:v>0.05</x:v>
      </x:c>
      <x:c r="Q36" s="20" t="n">
        <x:v>0</x:v>
      </x:c>
      <x:c r="R36" s="20" t="n">
        <x:v>1</x:v>
      </x:c>
      <x:c r="S36" s="20" t="n">
        <x:v>1</x:v>
      </x:c>
      <x:c r="T36" s="20" t="n">
        <x:v>0</x:v>
      </x:c>
      <x:c r="U36" s="20" t="n">
        <x:v>0.4</x:v>
      </x:c>
      <x:c r="V36" s="17" t="n">
        <x:v>4</x:v>
      </x:c>
    </x:row>
    <x:row r="37" ht="20" customHeight="1">
      <x:c r="A37" s="17" t="str">
        <x:v>P0015</x:v>
      </x:c>
      <x:c r="B37" s="17" t="str">
        <x:v>Q03</x:v>
      </x:c>
      <x:c r="C37" s="17" t="str">
        <x:v>L08</x:v>
      </x:c>
      <x:c r="D37" s="21" t="n">
        <x:v>7</x:v>
      </x:c>
      <x:c r="E37" s="21" t="n">
        <x:v>8</x:v>
      </x:c>
      <x:c r="F37" s="17" t="str">
        <x:v>完整单产品班次</x:v>
      </x:c>
      <x:c r="G37" s="18" t="n">
        <x:v>35000</x:v>
      </x:c>
      <x:c r="H37" s="18" t="n">
        <x:v>35000</x:v>
      </x:c>
      <x:c r="I37" s="18" t="n">
        <x:v>35000</x:v>
      </x:c>
      <x:c r="J37" s="18" t="n">
        <x:v>35000</x:v>
      </x:c>
      <x:c r="K37" s="20" t="n">
        <x:v>0.13478181818181817</x:v>
      </x:c>
      <x:c r="L37" s="19" t="n">
        <x:v>0.7734693877551021</x:v>
      </x:c>
      <x:c r="M37" s="18" t="n">
        <x:v>31099.999999999993</x:v>
      </x:c>
      <x:c r="N37" s="18" t="n">
        <x:v>35000</x:v>
      </x:c>
      <x:c r="O37" s="21" t="n">
        <x:v>8</x:v>
      </x:c>
      <x:c r="P37" s="20" t="n">
        <x:v>0.4</x:v>
      </x:c>
      <x:c r="Q37" s="20" t="n">
        <x:v>1</x:v>
      </x:c>
      <x:c r="R37" s="20" t="n">
        <x:v>0</x:v>
      </x:c>
      <x:c r="S37" s="20" t="n">
        <x:v>0</x:v>
      </x:c>
      <x:c r="T37" s="20" t="n">
        <x:v>1</x:v>
      </x:c>
      <x:c r="U37" s="20" t="n">
        <x:v>0.6000000000000001</x:v>
      </x:c>
      <x:c r="V37" s="17" t="n">
        <x:v>3</x:v>
      </x:c>
    </x:row>
    <x:row r="38" ht="20" customHeight="1">
      <x:c r="A38" s="17" t="str">
        <x:v>P0015</x:v>
      </x:c>
      <x:c r="B38" s="17" t="str">
        <x:v>Q03</x:v>
      </x:c>
      <x:c r="C38" s="17" t="str">
        <x:v>L11</x:v>
      </x:c>
      <x:c r="D38" s="21" t="n">
        <x:v>8</x:v>
      </x:c>
      <x:c r="E38" s="21" t="n">
        <x:v>8</x:v>
      </x:c>
      <x:c r="F38" s="17" t="str">
        <x:v>完整单产品班次</x:v>
      </x:c>
      <x:c r="G38" s="18" t="n">
        <x:v>35000</x:v>
      </x:c>
      <x:c r="H38" s="18" t="n">
        <x:v>35000</x:v>
      </x:c>
      <x:c r="I38" s="18" t="n">
        <x:v>35000</x:v>
      </x:c>
      <x:c r="J38" s="18" t="n">
        <x:v>35000</x:v>
      </x:c>
      <x:c r="K38" s="20" t="n">
        <x:v>0</x:v>
      </x:c>
      <x:c r="L38" s="19" t="n">
        <x:v>1</x:v>
      </x:c>
      <x:c r="M38" s="18" t="n">
        <x:v>35000</x:v>
      </x:c>
      <x:c r="N38" s="18" t="n">
        <x:v>35000</x:v>
      </x:c>
      <x:c r="O38" s="21" t="n">
        <x:v>8</x:v>
      </x:c>
      <x:c r="P38" s="20" t="n">
        <x:v>0.4</x:v>
      </x:c>
      <x:c r="Q38" s="20" t="n">
        <x:v>1</x:v>
      </x:c>
      <x:c r="R38" s="20" t="n">
        <x:v>1</x:v>
      </x:c>
      <x:c r="S38" s="20" t="n">
        <x:v>1</x:v>
      </x:c>
      <x:c r="T38" s="20" t="n">
        <x:v>1</x:v>
      </x:c>
      <x:c r="U38" s="20" t="n">
        <x:v>1</x:v>
      </x:c>
      <x:c r="V38" s="17" t="n">
        <x:v>1</x:v>
      </x:c>
    </x:row>
    <x:row r="39" ht="20" customHeight="1">
      <x:c r="A39" s="17" t="str">
        <x:v>P0015</x:v>
      </x:c>
      <x:c r="B39" s="17" t="str">
        <x:v>Q03</x:v>
      </x:c>
      <x:c r="C39" s="17" t="str">
        <x:v>L12</x:v>
      </x:c>
      <x:c r="D39" s="21" t="n">
        <x:v>3</x:v>
      </x:c>
      <x:c r="E39" s="21" t="n">
        <x:v>3</x:v>
      </x:c>
      <x:c r="F39" s="17" t="str">
        <x:v>完整单产品班次</x:v>
      </x:c>
      <x:c r="G39" s="18" t="n">
        <x:v>35000</x:v>
      </x:c>
      <x:c r="H39" s="18" t="n">
        <x:v>35000</x:v>
      </x:c>
      <x:c r="I39" s="18" t="n">
        <x:v>35000</x:v>
      </x:c>
      <x:c r="J39" s="18" t="n">
        <x:v>35000</x:v>
      </x:c>
      <x:c r="K39" s="20" t="n">
        <x:v>0</x:v>
      </x:c>
      <x:c r="L39" s="19" t="n">
        <x:v>1</x:v>
      </x:c>
      <x:c r="M39" s="18" t="n">
        <x:v>35000</x:v>
      </x:c>
      <x:c r="N39" s="18" t="n">
        <x:v>35000</x:v>
      </x:c>
      <x:c r="O39" s="21" t="n">
        <x:v>3</x:v>
      </x:c>
      <x:c r="P39" s="20" t="n">
        <x:v>0.15</x:v>
      </x:c>
      <x:c r="Q39" s="20" t="n">
        <x:v>1</x:v>
      </x:c>
      <x:c r="R39" s="20" t="n">
        <x:v>1</x:v>
      </x:c>
      <x:c r="S39" s="20" t="n">
        <x:v>1</x:v>
      </x:c>
      <x:c r="T39" s="20" t="n">
        <x:v>0.28571428571428564</x:v>
      </x:c>
      <x:c r="U39" s="20" t="n">
        <x:v>0.8571428571428572</x:v>
      </x:c>
      <x:c r="V39" s="17" t="n">
        <x:v>2</x:v>
      </x:c>
    </x:row>
    <x:row r="40" ht="20" customHeight="1">
      <x:c r="A40" s="17" t="str">
        <x:v>P0016</x:v>
      </x:c>
      <x:c r="B40" s="17" t="str">
        <x:v>Q03</x:v>
      </x:c>
      <x:c r="C40" s="17" t="str">
        <x:v>L09</x:v>
      </x:c>
      <x:c r="D40" s="21" t="n">
        <x:v>1</x:v>
      </x:c>
      <x:c r="E40" s="21" t="n">
        <x:v>1</x:v>
      </x:c>
      <x:c r="F40" s="17" t="str">
        <x:v>冲突或缺班次回退</x:v>
      </x:c>
      <x:c r="G40" s="18" t="n">
        <x:v>1056</x:v>
      </x:c>
      <x:c r="H40" s="18" t="n">
        <x:v>19000</x:v>
      </x:c>
      <x:c r="I40" s="18" t="n">
        <x:v>1056</x:v>
      </x:c>
      <x:c r="J40" s="18" t="n">
        <x:v>1056</x:v>
      </x:c>
      <x:c r="K40" s="20" t="n">
        <x:v>0</x:v>
      </x:c>
      <x:c r="L40" s="19" t="n">
        <x:v>1</x:v>
      </x:c>
      <x:c r="M40" s="18" t="n">
        <x:v>1056</x:v>
      </x:c>
      <x:c r="N40" s="18" t="n">
        <x:v>1056</x:v>
      </x:c>
      <x:c r="O40" s="21" t="n">
        <x:v>1</x:v>
      </x:c>
      <x:c r="P40" s="20" t="n">
        <x:v>1</x:v>
      </x:c>
      <x:c r="Q40" s="20" t="n">
        <x:v>1</x:v>
      </x:c>
      <x:c r="R40" s="20" t="n">
        <x:v>1</x:v>
      </x:c>
      <x:c r="S40" s="20" t="n">
        <x:v>1</x:v>
      </x:c>
      <x:c r="T40" s="20" t="n">
        <x:v>1</x:v>
      </x:c>
      <x:c r="U40" s="20" t="n">
        <x:v>1</x:v>
      </x:c>
      <x:c r="V40" s="17" t="n">
        <x:v>1</x:v>
      </x:c>
    </x:row>
    <x:row r="41" ht="20" customHeight="1">
      <x:c r="A41" s="17" t="str">
        <x:v>P0017</x:v>
      </x:c>
      <x:c r="B41" s="17" t="str">
        <x:v>Q03</x:v>
      </x:c>
      <x:c r="C41" s="17" t="str">
        <x:v>L01</x:v>
      </x:c>
      <x:c r="D41" s="21" t="n">
        <x:v>61</x:v>
      </x:c>
      <x:c r="E41" s="21" t="n">
        <x:v>66</x:v>
      </x:c>
      <x:c r="F41" s="17" t="str">
        <x:v>完整单产品班次</x:v>
      </x:c>
      <x:c r="G41" s="18" t="n">
        <x:v>21000</x:v>
      </x:c>
      <x:c r="H41" s="18" t="n">
        <x:v>23000</x:v>
      </x:c>
      <x:c r="I41" s="18" t="n">
        <x:v>22000</x:v>
      </x:c>
      <x:c r="J41" s="18" t="n">
        <x:v>21151</x:v>
      </x:c>
      <x:c r="K41" s="20" t="n">
        <x:v>0</x:v>
      </x:c>
      <x:c r="L41" s="19" t="n">
        <x:v>0.98975051367567</x:v>
      </x:c>
      <x:c r="M41" s="18" t="n">
        <x:v>21000</x:v>
      </x:c>
      <x:c r="N41" s="18" t="n">
        <x:v>21000</x:v>
      </x:c>
      <x:c r="O41" s="21" t="n">
        <x:v>66</x:v>
      </x:c>
      <x:c r="P41" s="20" t="n">
        <x:v>0.9850746268656716</x:v>
      </x:c>
      <x:c r="Q41" s="20" t="n">
        <x:v>1</x:v>
      </x:c>
      <x:c r="R41" s="20" t="n">
        <x:v>1</x:v>
      </x:c>
      <x:c r="S41" s="20" t="n">
        <x:v>0</x:v>
      </x:c>
      <x:c r="T41" s="20" t="n">
        <x:v>1</x:v>
      </x:c>
      <x:c r="U41" s="20" t="n">
        <x:v>0.8</x:v>
      </x:c>
      <x:c r="V41" s="17" t="n">
        <x:v>1</x:v>
      </x:c>
    </x:row>
    <x:row r="42" ht="20" customHeight="1">
      <x:c r="A42" s="17" t="str">
        <x:v>P0017</x:v>
      </x:c>
      <x:c r="B42" s="17" t="str">
        <x:v>Q03</x:v>
      </x:c>
      <x:c r="C42" s="17" t="str">
        <x:v>L02</x:v>
      </x:c>
      <x:c r="D42" s="21" t="n">
        <x:v>1</x:v>
      </x:c>
      <x:c r="E42" s="21" t="n">
        <x:v>1</x:v>
      </x:c>
      <x:c r="F42" s="17" t="str">
        <x:v>冲突或缺班次回退</x:v>
      </x:c>
      <x:c r="G42" s="18" t="n">
        <x:v>1000</x:v>
      </x:c>
      <x:c r="H42" s="18" t="n">
        <x:v>33000</x:v>
      </x:c>
      <x:c r="I42" s="18" t="n">
        <x:v>1000</x:v>
      </x:c>
      <x:c r="J42" s="18" t="n">
        <x:v>1000</x:v>
      </x:c>
      <x:c r="K42" s="20" t="n">
        <x:v>0</x:v>
      </x:c>
      <x:c r="L42" s="19" t="n">
        <x:v>1</x:v>
      </x:c>
      <x:c r="M42" s="18" t="n">
        <x:v>1000</x:v>
      </x:c>
      <x:c r="N42" s="18" t="n">
        <x:v>1000</x:v>
      </x:c>
      <x:c r="O42" s="21" t="n">
        <x:v>1</x:v>
      </x:c>
      <x:c r="P42" s="20" t="n">
        <x:v>0.014925373134328358</x:v>
      </x:c>
      <x:c r="Q42" s="20" t="n">
        <x:v>0</x:v>
      </x:c>
      <x:c r="R42" s="20" t="n">
        <x:v>1</x:v>
      </x:c>
      <x:c r="S42" s="20" t="n">
        <x:v>1</x:v>
      </x:c>
      <x:c r="T42" s="20" t="n">
        <x:v>0</x:v>
      </x:c>
      <x:c r="U42" s="20" t="n">
        <x:v>0.4</x:v>
      </x:c>
      <x:c r="V42" s="17" t="n">
        <x:v>2</x:v>
      </x:c>
    </x:row>
    <x:row r="43" ht="20" customHeight="1">
      <x:c r="A43" s="17" t="str">
        <x:v>P0018</x:v>
      </x:c>
      <x:c r="B43" s="17" t="str">
        <x:v>Q03</x:v>
      </x:c>
      <x:c r="C43" s="17" t="str">
        <x:v>L02</x:v>
      </x:c>
      <x:c r="D43" s="21" t="n">
        <x:v>13</x:v>
      </x:c>
      <x:c r="E43" s="21" t="n">
        <x:v>14</x:v>
      </x:c>
      <x:c r="F43" s="17" t="str">
        <x:v>完整单产品班次</x:v>
      </x:c>
      <x:c r="G43" s="18" t="n">
        <x:v>30000</x:v>
      </x:c>
      <x:c r="H43" s="18" t="n">
        <x:v>33000</x:v>
      </x:c>
      <x:c r="I43" s="18" t="n">
        <x:v>30000</x:v>
      </x:c>
      <x:c r="J43" s="18" t="n">
        <x:v>30000</x:v>
      </x:c>
      <x:c r="K43" s="20" t="n">
        <x:v>0</x:v>
      </x:c>
      <x:c r="L43" s="19" t="n">
        <x:v>1</x:v>
      </x:c>
      <x:c r="M43" s="18" t="n">
        <x:v>30000</x:v>
      </x:c>
      <x:c r="N43" s="18" t="n">
        <x:v>30000</x:v>
      </x:c>
      <x:c r="O43" s="21" t="n">
        <x:v>14</x:v>
      </x:c>
      <x:c r="P43" s="20" t="n">
        <x:v>0.2413793103448276</x:v>
      </x:c>
      <x:c r="Q43" s="20" t="n">
        <x:v>1</x:v>
      </x:c>
      <x:c r="R43" s="20" t="n">
        <x:v>1</x:v>
      </x:c>
      <x:c r="S43" s="20" t="n">
        <x:v>1</x:v>
      </x:c>
      <x:c r="T43" s="20" t="n">
        <x:v>0</x:v>
      </x:c>
      <x:c r="U43" s="20" t="n">
        <x:v>0.8</x:v>
      </x:c>
      <x:c r="V43" s="17" t="n">
        <x:v>1</x:v>
      </x:c>
    </x:row>
    <x:row r="44" ht="20" customHeight="1">
      <x:c r="A44" s="17" t="str">
        <x:v>P0018</x:v>
      </x:c>
      <x:c r="B44" s="17" t="str">
        <x:v>Q03</x:v>
      </x:c>
      <x:c r="C44" s="17" t="str">
        <x:v>L14</x:v>
      </x:c>
      <x:c r="D44" s="21" t="n">
        <x:v>40</x:v>
      </x:c>
      <x:c r="E44" s="21" t="n">
        <x:v>44</x:v>
      </x:c>
      <x:c r="F44" s="17" t="str">
        <x:v>完整单产品班次</x:v>
      </x:c>
      <x:c r="G44" s="18" t="n">
        <x:v>26000</x:v>
      </x:c>
      <x:c r="H44" s="18" t="n">
        <x:v>28000</x:v>
      </x:c>
      <x:c r="I44" s="18" t="n">
        <x:v>26000</x:v>
      </x:c>
      <x:c r="J44" s="18" t="n">
        <x:v>26000</x:v>
      </x:c>
      <x:c r="K44" s="20" t="n">
        <x:v>0</x:v>
      </x:c>
      <x:c r="L44" s="19" t="n">
        <x:v>1</x:v>
      </x:c>
      <x:c r="M44" s="18" t="n">
        <x:v>26000</x:v>
      </x:c>
      <x:c r="N44" s="18" t="n">
        <x:v>26000</x:v>
      </x:c>
      <x:c r="O44" s="21" t="n">
        <x:v>44</x:v>
      </x:c>
      <x:c r="P44" s="20" t="n">
        <x:v>0.7586206896551724</x:v>
      </x:c>
      <x:c r="Q44" s="20" t="n">
        <x:v>0</x:v>
      </x:c>
      <x:c r="R44" s="20" t="n">
        <x:v>1</x:v>
      </x:c>
      <x:c r="S44" s="20" t="n">
        <x:v>1</x:v>
      </x:c>
      <x:c r="T44" s="20" t="n">
        <x:v>1</x:v>
      </x:c>
      <x:c r="U44" s="20" t="n">
        <x:v>0.6000000000000001</x:v>
      </x:c>
      <x:c r="V44" s="17" t="n">
        <x:v>2</x:v>
      </x:c>
    </x:row>
    <x:row r="45" ht="20" customHeight="1">
      <x:c r="A45" s="17" t="str">
        <x:v>P0019</x:v>
      </x:c>
      <x:c r="B45" s="17" t="str">
        <x:v>Q03</x:v>
      </x:c>
      <x:c r="C45" s="17" t="str">
        <x:v>L13</x:v>
      </x:c>
      <x:c r="D45" s="21" t="n">
        <x:v>3</x:v>
      </x:c>
      <x:c r="E45" s="21" t="n">
        <x:v>3</x:v>
      </x:c>
      <x:c r="F45" s="17" t="str">
        <x:v>冲突或缺班次回退</x:v>
      </x:c>
      <x:c r="G45" s="18" t="n">
        <x:v>12434.999999999998</x:v>
      </x:c>
      <x:c r="H45" s="18" t="n">
        <x:v>14160</x:v>
      </x:c>
      <x:c r="I45" s="18" t="n">
        <x:v>13806</x:v>
      </x:c>
      <x:c r="J45" s="18" t="n">
        <x:v>13513</x:v>
      </x:c>
      <x:c r="K45" s="20" t="n">
        <x:v>0.185325</x:v>
      </x:c>
      <x:c r="L45" s="19" t="n">
        <x:v>0.3450011100421816</x:v>
      </x:c>
      <x:c r="M45" s="18" t="n">
        <x:v>84</x:v>
      </x:c>
      <x:c r="N45" s="18" t="n">
        <x:v>13806</x:v>
      </x:c>
      <x:c r="O45" s="21" t="n">
        <x:v>3</x:v>
      </x:c>
      <x:c r="P45" s="20" t="n">
        <x:v>0.75</x:v>
      </x:c>
      <x:c r="Q45" s="20" t="n">
        <x:v>1</x:v>
      </x:c>
      <x:c r="R45" s="20" t="n">
        <x:v>0</x:v>
      </x:c>
      <x:c r="S45" s="20" t="n">
        <x:v>0</x:v>
      </x:c>
      <x:c r="T45" s="20" t="n">
        <x:v>1</x:v>
      </x:c>
      <x:c r="U45" s="20" t="n">
        <x:v>0.6000000000000001</x:v>
      </x:c>
      <x:c r="V45" s="17" t="n">
        <x:v>1</x:v>
      </x:c>
    </x:row>
    <x:row r="46" ht="20" customHeight="1">
      <x:c r="A46" s="17" t="str">
        <x:v>P0019</x:v>
      </x:c>
      <x:c r="B46" s="17" t="str">
        <x:v>Q03</x:v>
      </x:c>
      <x:c r="C46" s="17" t="str">
        <x:v>L14</x:v>
      </x:c>
      <x:c r="D46" s="21" t="n">
        <x:v>1</x:v>
      </x:c>
      <x:c r="E46" s="21" t="n">
        <x:v>1</x:v>
      </x:c>
      <x:c r="F46" s="17" t="str">
        <x:v>冲突或缺班次回退</x:v>
      </x:c>
      <x:c r="G46" s="18" t="n">
        <x:v>10</x:v>
      </x:c>
      <x:c r="H46" s="18" t="n">
        <x:v>28000</x:v>
      </x:c>
      <x:c r="I46" s="18" t="n">
        <x:v>10</x:v>
      </x:c>
      <x:c r="J46" s="18" t="n">
        <x:v>10</x:v>
      </x:c>
      <x:c r="K46" s="20" t="n">
        <x:v>0</x:v>
      </x:c>
      <x:c r="L46" s="19" t="n">
        <x:v>1</x:v>
      </x:c>
      <x:c r="M46" s="18" t="n">
        <x:v>10</x:v>
      </x:c>
      <x:c r="N46" s="18" t="n">
        <x:v>10</x:v>
      </x:c>
      <x:c r="O46" s="21" t="n">
        <x:v>1</x:v>
      </x:c>
      <x:c r="P46" s="20" t="n">
        <x:v>0.25</x:v>
      </x:c>
      <x:c r="Q46" s="20" t="n">
        <x:v>0</x:v>
      </x:c>
      <x:c r="R46" s="20" t="n">
        <x:v>1</x:v>
      </x:c>
      <x:c r="S46" s="20" t="n">
        <x:v>1</x:v>
      </x:c>
      <x:c r="T46" s="20" t="n">
        <x:v>0</x:v>
      </x:c>
      <x:c r="U46" s="20" t="n">
        <x:v>0.4</x:v>
      </x:c>
      <x:c r="V46" s="17" t="n">
        <x:v>2</x:v>
      </x:c>
    </x:row>
    <x:row r="47" ht="20" customHeight="1">
      <x:c r="A47" s="17" t="str">
        <x:v>P0020</x:v>
      </x:c>
      <x:c r="B47" s="17" t="str">
        <x:v>Q03</x:v>
      </x:c>
      <x:c r="C47" s="17" t="str">
        <x:v>L09</x:v>
      </x:c>
      <x:c r="D47" s="21" t="n">
        <x:v>2</x:v>
      </x:c>
      <x:c r="E47" s="21" t="n">
        <x:v>2</x:v>
      </x:c>
      <x:c r="F47" s="17" t="str">
        <x:v>完整单产品班次</x:v>
      </x:c>
      <x:c r="G47" s="18" t="n">
        <x:v>14160</x:v>
      </x:c>
      <x:c r="H47" s="18" t="n">
        <x:v>19000</x:v>
      </x:c>
      <x:c r="I47" s="18" t="n">
        <x:v>14160</x:v>
      </x:c>
      <x:c r="J47" s="18" t="n">
        <x:v>14160</x:v>
      </x:c>
      <x:c r="K47" s="20" t="n">
        <x:v>0</x:v>
      </x:c>
      <x:c r="L47" s="19" t="n">
        <x:v>1</x:v>
      </x:c>
      <x:c r="M47" s="18" t="n">
        <x:v>14160</x:v>
      </x:c>
      <x:c r="N47" s="18" t="n">
        <x:v>14160</x:v>
      </x:c>
      <x:c r="O47" s="21" t="n">
        <x:v>2</x:v>
      </x:c>
      <x:c r="P47" s="20" t="n">
        <x:v>1</x:v>
      </x:c>
      <x:c r="Q47" s="20" t="n">
        <x:v>1</x:v>
      </x:c>
      <x:c r="R47" s="20" t="n">
        <x:v>1</x:v>
      </x:c>
      <x:c r="S47" s="20" t="n">
        <x:v>1</x:v>
      </x:c>
      <x:c r="T47" s="20" t="n">
        <x:v>1</x:v>
      </x:c>
      <x:c r="U47" s="20" t="n">
        <x:v>1</x:v>
      </x:c>
      <x:c r="V47" s="17" t="n">
        <x:v>1</x:v>
      </x:c>
    </x:row>
    <x:row r="48" ht="20" customHeight="1">
      <x:c r="A48" s="17" t="str">
        <x:v>P0021</x:v>
      </x:c>
      <x:c r="B48" s="17" t="str">
        <x:v>Q03</x:v>
      </x:c>
      <x:c r="C48" s="17" t="str">
        <x:v>L14</x:v>
      </x:c>
      <x:c r="D48" s="21" t="n">
        <x:v>1</x:v>
      </x:c>
      <x:c r="E48" s="21" t="n">
        <x:v>1</x:v>
      </x:c>
      <x:c r="F48" s="17" t="str">
        <x:v>冲突或缺班次回退</x:v>
      </x:c>
      <x:c r="G48" s="18" t="n">
        <x:v>21240</x:v>
      </x:c>
      <x:c r="H48" s="18" t="n">
        <x:v>28000</x:v>
      </x:c>
      <x:c r="I48" s="18" t="n">
        <x:v>21240</x:v>
      </x:c>
      <x:c r="J48" s="18" t="n">
        <x:v>21240</x:v>
      </x:c>
      <x:c r="K48" s="20" t="n">
        <x:v>0</x:v>
      </x:c>
      <x:c r="L48" s="19" t="n">
        <x:v>1</x:v>
      </x:c>
      <x:c r="M48" s="18" t="n">
        <x:v>21240</x:v>
      </x:c>
      <x:c r="N48" s="18" t="n">
        <x:v>21240</x:v>
      </x:c>
      <x:c r="O48" s="21" t="n">
        <x:v>1</x:v>
      </x:c>
      <x:c r="P48" s="20" t="n">
        <x:v>1</x:v>
      </x:c>
      <x:c r="Q48" s="20" t="n">
        <x:v>1</x:v>
      </x:c>
      <x:c r="R48" s="20" t="n">
        <x:v>1</x:v>
      </x:c>
      <x:c r="S48" s="20" t="n">
        <x:v>1</x:v>
      </x:c>
      <x:c r="T48" s="20" t="n">
        <x:v>1</x:v>
      </x:c>
      <x:c r="U48" s="20" t="n">
        <x:v>1</x:v>
      </x:c>
      <x:c r="V48" s="17" t="n">
        <x:v>1</x:v>
      </x:c>
    </x:row>
    <x:row r="49" ht="20" customHeight="1">
      <x:c r="A49" s="17" t="str">
        <x:v>P0022</x:v>
      </x:c>
      <x:c r="B49" s="17" t="str">
        <x:v>Q11</x:v>
      </x:c>
      <x:c r="C49" s="17" t="str">
        <x:v>L01</x:v>
      </x:c>
      <x:c r="D49" s="21" t="n">
        <x:v>286</x:v>
      </x:c>
      <x:c r="E49" s="21" t="n">
        <x:v>288</x:v>
      </x:c>
      <x:c r="F49" s="17" t="str">
        <x:v>完整单产品班次</x:v>
      </x:c>
      <x:c r="G49" s="18" t="n">
        <x:v>18000</x:v>
      </x:c>
      <x:c r="H49" s="18" t="n">
        <x:v>18000</x:v>
      </x:c>
      <x:c r="I49" s="18" t="n">
        <x:v>18100</x:v>
      </x:c>
      <x:c r="J49" s="18" t="n">
        <x:v>18000</x:v>
      </x:c>
      <x:c r="K49" s="20" t="n">
        <x:v>0</x:v>
      </x:c>
      <x:c r="L49" s="19" t="n">
        <x:v>0.9988539238539239</x:v>
      </x:c>
      <x:c r="M49" s="18" t="n">
        <x:v>18000</x:v>
      </x:c>
      <x:c r="N49" s="18" t="n">
        <x:v>18000</x:v>
      </x:c>
      <x:c r="O49" s="21" t="n">
        <x:v>288</x:v>
      </x:c>
      <x:c r="P49" s="20" t="n">
        <x:v>0.8421052631578947</x:v>
      </x:c>
      <x:c r="Q49" s="20" t="n">
        <x:v>0.8179666879038864</x:v>
      </x:c>
      <x:c r="R49" s="20" t="n">
        <x:v>1</x:v>
      </x:c>
      <x:c r="S49" s="20" t="n">
        <x:v>0.9931235431235435</x:v>
      </x:c>
      <x:c r="T49" s="20" t="n">
        <x:v>1</x:v>
      </x:c>
      <x:c r="U49" s="20" t="n">
        <x:v>0.9258113837862634</x:v>
      </x:c>
      <x:c r="V49" s="17" t="n">
        <x:v>1</x:v>
      </x:c>
    </x:row>
    <x:row r="50" ht="20" customHeight="1">
      <x:c r="A50" s="17" t="str">
        <x:v>P0022</x:v>
      </x:c>
      <x:c r="B50" s="17" t="str">
        <x:v>Q11</x:v>
      </x:c>
      <x:c r="C50" s="17" t="str">
        <x:v>L02</x:v>
      </x:c>
      <x:c r="D50" s="21" t="n">
        <x:v>1</x:v>
      </x:c>
      <x:c r="E50" s="21" t="n">
        <x:v>1</x:v>
      </x:c>
      <x:c r="F50" s="17" t="str">
        <x:v>冲突或缺班次回退</x:v>
      </x:c>
      <x:c r="G50" s="18" t="n">
        <x:v>26</x:v>
      </x:c>
      <x:c r="H50" s="18" t="n">
        <x:v>26</x:v>
      </x:c>
      <x:c r="I50" s="18" t="n">
        <x:v>26</x:v>
      </x:c>
      <x:c r="J50" s="18" t="n">
        <x:v>26</x:v>
      </x:c>
      <x:c r="K50" s="20" t="n">
        <x:v>0</x:v>
      </x:c>
      <x:c r="L50" s="19" t="n">
        <x:v>1</x:v>
      </x:c>
      <x:c r="M50" s="18" t="n">
        <x:v>26</x:v>
      </x:c>
      <x:c r="N50" s="18" t="n">
        <x:v>26</x:v>
      </x:c>
      <x:c r="O50" s="21" t="n">
        <x:v>1</x:v>
      </x:c>
      <x:c r="P50" s="20" t="n">
        <x:v>0.0029239766081871343</x:v>
      </x:c>
      <x:c r="Q50" s="20" t="n">
        <x:v>0</x:v>
      </x:c>
      <x:c r="R50" s="20" t="n">
        <x:v>1</x:v>
      </x:c>
      <x:c r="S50" s="20" t="n">
        <x:v>1</x:v>
      </x:c>
      <x:c r="T50" s="20" t="n">
        <x:v>0</x:v>
      </x:c>
      <x:c r="U50" s="20" t="n">
        <x:v>0.4</x:v>
      </x:c>
      <x:c r="V50" s="17" t="n">
        <x:v>4</x:v>
      </x:c>
    </x:row>
    <x:row r="51" ht="20" customHeight="1">
      <x:c r="A51" s="17" t="str">
        <x:v>P0022</x:v>
      </x:c>
      <x:c r="B51" s="17" t="str">
        <x:v>Q11</x:v>
      </x:c>
      <x:c r="C51" s="17" t="str">
        <x:v>L04</x:v>
      </x:c>
      <x:c r="D51" s="21" t="n">
        <x:v>32</x:v>
      </x:c>
      <x:c r="E51" s="21" t="n">
        <x:v>34</x:v>
      </x:c>
      <x:c r="F51" s="17" t="str">
        <x:v>完整单产品班次</x:v>
      </x:c>
      <x:c r="G51" s="18" t="n">
        <x:v>18000</x:v>
      </x:c>
      <x:c r="H51" s="18" t="n">
        <x:v>18000</x:v>
      </x:c>
      <x:c r="I51" s="18" t="n">
        <x:v>18000</x:v>
      </x:c>
      <x:c r="J51" s="18" t="n">
        <x:v>18000</x:v>
      </x:c>
      <x:c r="K51" s="20" t="n">
        <x:v>0</x:v>
      </x:c>
      <x:c r="L51" s="19" t="n">
        <x:v>0.9809027777777778</x:v>
      </x:c>
      <x:c r="M51" s="18" t="n">
        <x:v>18000</x:v>
      </x:c>
      <x:c r="N51" s="18" t="n">
        <x:v>18000</x:v>
      </x:c>
      <x:c r="O51" s="21" t="n">
        <x:v>34</x:v>
      </x:c>
      <x:c r="P51" s="20" t="n">
        <x:v>0.09941520467836257</x:v>
      </x:c>
      <x:c r="Q51" s="20" t="n">
        <x:v>0.8179666879038864</x:v>
      </x:c>
      <x:c r="R51" s="20" t="n">
        <x:v>1</x:v>
      </x:c>
      <x:c r="S51" s="20" t="n">
        <x:v>0.8854166666666667</x:v>
      </x:c>
      <x:c r="T51" s="20" t="n">
        <x:v>0.11498257839721254</x:v>
      </x:c>
      <x:c r="U51" s="20" t="n">
        <x:v>0.7272665241743305</x:v>
      </x:c>
      <x:c r="V51" s="17" t="n">
        <x:v>2</x:v>
      </x:c>
    </x:row>
    <x:row r="52" ht="20" customHeight="1">
      <x:c r="A52" s="17" t="str">
        <x:v>P0022</x:v>
      </x:c>
      <x:c r="B52" s="17" t="str">
        <x:v>Q11</x:v>
      </x:c>
      <x:c r="C52" s="17" t="str">
        <x:v>L13</x:v>
      </x:c>
      <x:c r="D52" s="21" t="n">
        <x:v>2</x:v>
      </x:c>
      <x:c r="E52" s="21" t="n">
        <x:v>2</x:v>
      </x:c>
      <x:c r="F52" s="17" t="str">
        <x:v>冲突或缺班次回退</x:v>
      </x:c>
      <x:c r="G52" s="18" t="n">
        <x:v>5900</x:v>
      </x:c>
      <x:c r="H52" s="18" t="n">
        <x:v>16672.799999999996</x:v>
      </x:c>
      <x:c r="I52" s="18" t="n">
        <x:v>6000</x:v>
      </x:c>
      <x:c r="J52" s="18" t="n">
        <x:v>6000</x:v>
      </x:c>
      <x:c r="K52" s="20" t="n">
        <x:v>0.29652</x:v>
      </x:c>
      <x:c r="L52" s="19" t="n">
        <x:v>0.8333333333333334</x:v>
      </x:c>
      <x:c r="M52" s="18" t="n">
        <x:v>4000</x:v>
      </x:c>
      <x:c r="N52" s="18" t="n">
        <x:v>6000</x:v>
      </x:c>
      <x:c r="O52" s="21" t="n">
        <x:v>2</x:v>
      </x:c>
      <x:c r="P52" s="20" t="n">
        <x:v>0.005847953216374269</x:v>
      </x:c>
      <x:c r="Q52" s="20" t="n">
        <x:v>0.27186675161554563</x:v>
      </x:c>
      <x:c r="R52" s="20" t="n">
        <x:v>0</x:v>
      </x:c>
      <x:c r="S52" s="20" t="n">
        <x:v>0</x:v>
      </x:c>
      <x:c r="T52" s="20" t="n">
        <x:v>0.003484320557491289</x:v>
      </x:c>
      <x:c r="U52" s="20" t="n">
        <x:v>0.10944356475771652</x:v>
      </x:c>
      <x:c r="V52" s="17" t="n">
        <x:v>5</x:v>
      </x:c>
    </x:row>
    <x:row r="53" ht="20" customHeight="1">
      <x:c r="A53" s="17" t="str">
        <x:v>P0022</x:v>
      </x:c>
      <x:c r="B53" s="17" t="str">
        <x:v>Q11</x:v>
      </x:c>
      <x:c r="C53" s="17" t="str">
        <x:v>L14</x:v>
      </x:c>
      <x:c r="D53" s="21" t="n">
        <x:v>17</x:v>
      </x:c>
      <x:c r="E53" s="21" t="n">
        <x:v>17</x:v>
      </x:c>
      <x:c r="F53" s="17" t="str">
        <x:v>完整单产品班次</x:v>
      </x:c>
      <x:c r="G53" s="18" t="n">
        <x:v>22000</x:v>
      </x:c>
      <x:c r="H53" s="18" t="n">
        <x:v>22000</x:v>
      </x:c>
      <x:c r="I53" s="18" t="n">
        <x:v>22000</x:v>
      </x:c>
      <x:c r="J53" s="18" t="n">
        <x:v>22000</x:v>
      </x:c>
      <x:c r="K53" s="20" t="n">
        <x:v>0</x:v>
      </x:c>
      <x:c r="L53" s="19" t="n">
        <x:v>0.8636363636363636</x:v>
      </x:c>
      <x:c r="M53" s="18" t="n">
        <x:v>21200</x:v>
      </x:c>
      <x:c r="N53" s="18" t="n">
        <x:v>22000</x:v>
      </x:c>
      <x:c r="O53" s="21" t="n">
        <x:v>17</x:v>
      </x:c>
      <x:c r="P53" s="20" t="n">
        <x:v>0.049707602339181284</x:v>
      </x:c>
      <x:c r="Q53" s="20" t="n">
        <x:v>1</x:v>
      </x:c>
      <x:c r="R53" s="20" t="n">
        <x:v>1</x:v>
      </x:c>
      <x:c r="S53" s="20" t="n">
        <x:v>0.18181818181818168</x:v>
      </x:c>
      <x:c r="T53" s="20" t="n">
        <x:v>0.05574912891986063</x:v>
      </x:c>
      <x:c r="U53" s="20" t="n">
        <x:v>0.6475134621476086</x:v>
      </x:c>
      <x:c r="V53" s="17" t="n">
        <x:v>3</x:v>
      </x:c>
    </x:row>
    <x:row r="54" ht="20" customHeight="1">
      <x:c r="A54" s="17" t="str">
        <x:v>P0023</x:v>
      </x:c>
      <x:c r="B54" s="17" t="str">
        <x:v>Q11</x:v>
      </x:c>
      <x:c r="C54" s="17" t="str">
        <x:v>L13</x:v>
      </x:c>
      <x:c r="D54" s="21" t="n">
        <x:v>1</x:v>
      </x:c>
      <x:c r="E54" s="21" t="n">
        <x:v>2</x:v>
      </x:c>
      <x:c r="F54" s="17" t="str">
        <x:v>完整单产品班次</x:v>
      </x:c>
      <x:c r="G54" s="18" t="n">
        <x:v>16992</x:v>
      </x:c>
      <x:c r="H54" s="18" t="n">
        <x:v>16672.799999999996</x:v>
      </x:c>
      <x:c r="I54" s="18" t="n">
        <x:v>16992</x:v>
      </x:c>
      <x:c r="J54" s="18" t="n">
        <x:v>16725</x:v>
      </x:c>
      <x:c r="K54" s="20" t="n">
        <x:v>0</x:v>
      </x:c>
      <x:c r="L54" s="19" t="n">
        <x:v>1.015964125560538</x:v>
      </x:c>
      <x:c r="M54" s="18" t="n">
        <x:v>16992</x:v>
      </x:c>
      <x:c r="N54" s="18" t="n">
        <x:v>16992</x:v>
      </x:c>
      <x:c r="O54" s="21" t="n">
        <x:v>2</x:v>
      </x:c>
      <x:c r="P54" s="20" t="n">
        <x:v>1</x:v>
      </x:c>
      <x:c r="Q54" s="20" t="n">
        <x:v>1</x:v>
      </x:c>
      <x:c r="R54" s="20" t="n">
        <x:v>1</x:v>
      </x:c>
      <x:c r="S54" s="20" t="n">
        <x:v>1</x:v>
      </x:c>
      <x:c r="T54" s="20" t="n">
        <x:v>1</x:v>
      </x:c>
      <x:c r="U54" s="20" t="n">
        <x:v>1</x:v>
      </x:c>
      <x:c r="V54" s="17" t="n">
        <x:v>1</x:v>
      </x:c>
    </x:row>
    <x:row r="55" ht="20" customHeight="1">
      <x:c r="A55" s="17" t="str">
        <x:v>P0024</x:v>
      </x:c>
      <x:c r="B55" s="17" t="str">
        <x:v>Q03</x:v>
      </x:c>
      <x:c r="C55" s="17" t="str">
        <x:v>L13</x:v>
      </x:c>
      <x:c r="D55" s="21" t="n">
        <x:v>3</x:v>
      </x:c>
      <x:c r="E55" s="21" t="n">
        <x:v>3</x:v>
      </x:c>
      <x:c r="F55" s="17" t="str">
        <x:v>冲突或缺班次回退</x:v>
      </x:c>
      <x:c r="G55" s="18" t="n">
        <x:v>15700</x:v>
      </x:c>
      <x:c r="H55" s="18" t="n">
        <x:v>14160</x:v>
      </x:c>
      <x:c r="I55" s="18" t="n">
        <x:v>16000</x:v>
      </x:c>
      <x:c r="J55" s="18" t="n">
        <x:v>14737</x:v>
      </x:c>
      <x:c r="K55" s="20" t="n">
        <x:v>0.34213846153846156</x:v>
      </x:c>
      <x:c r="L55" s="19" t="n">
        <x:v>0.7958652823957838</x:v>
      </x:c>
      <x:c r="M55" s="18" t="n">
        <x:v>6186</x:v>
      </x:c>
      <x:c r="N55" s="18" t="n">
        <x:v>16000</x:v>
      </x:c>
      <x:c r="O55" s="21" t="n">
        <x:v>3</x:v>
      </x:c>
      <x:c r="P55" s="20" t="n">
        <x:v>0.6</x:v>
      </x:c>
      <x:c r="Q55" s="20" t="n">
        <x:v>0</x:v>
      </x:c>
      <x:c r="R55" s="20" t="n">
        <x:v>0</x:v>
      </x:c>
      <x:c r="S55" s="20" t="n">
        <x:v>0</x:v>
      </x:c>
      <x:c r="T55" s="20" t="n">
        <x:v>1</x:v>
      </x:c>
      <x:c r="U55" s="20" t="n">
        <x:v>0.2</x:v>
      </x:c>
      <x:c r="V55" s="17" t="n">
        <x:v>2</x:v>
      </x:c>
    </x:row>
    <x:row r="56" ht="20" customHeight="1">
      <x:c r="A56" s="17" t="str">
        <x:v>P0024</x:v>
      </x:c>
      <x:c r="B56" s="17" t="str">
        <x:v>Q03</x:v>
      </x:c>
      <x:c r="C56" s="17" t="str">
        <x:v>L14</x:v>
      </x:c>
      <x:c r="D56" s="21" t="n">
        <x:v>2</x:v>
      </x:c>
      <x:c r="E56" s="21" t="n">
        <x:v>2</x:v>
      </x:c>
      <x:c r="F56" s="17" t="str">
        <x:v>完整单产品班次</x:v>
      </x:c>
      <x:c r="G56" s="18" t="n">
        <x:v>16000</x:v>
      </x:c>
      <x:c r="H56" s="18" t="n">
        <x:v>28000</x:v>
      </x:c>
      <x:c r="I56" s="18" t="n">
        <x:v>16000</x:v>
      </x:c>
      <x:c r="J56" s="18" t="n">
        <x:v>16000</x:v>
      </x:c>
      <x:c r="K56" s="20" t="n">
        <x:v>0</x:v>
      </x:c>
      <x:c r="L56" s="19" t="n">
        <x:v>1</x:v>
      </x:c>
      <x:c r="M56" s="18" t="n">
        <x:v>16000</x:v>
      </x:c>
      <x:c r="N56" s="18" t="n">
        <x:v>16000</x:v>
      </x:c>
      <x:c r="O56" s="21" t="n">
        <x:v>2</x:v>
      </x:c>
      <x:c r="P56" s="20" t="n">
        <x:v>0.4</x:v>
      </x:c>
      <x:c r="Q56" s="20" t="n">
        <x:v>1</x:v>
      </x:c>
      <x:c r="R56" s="20" t="n">
        <x:v>1</x:v>
      </x:c>
      <x:c r="S56" s="20" t="n">
        <x:v>1</x:v>
      </x:c>
      <x:c r="T56" s="20" t="n">
        <x:v>0</x:v>
      </x:c>
      <x:c r="U56" s="20" t="n">
        <x:v>0.8</x:v>
      </x:c>
      <x:c r="V56" s="17" t="n">
        <x:v>1</x:v>
      </x:c>
    </x:row>
    <x:row r="57" ht="20" customHeight="1">
      <x:c r="A57" s="17" t="str">
        <x:v>P0025</x:v>
      </x:c>
      <x:c r="B57" s="17" t="str">
        <x:v>Q03</x:v>
      </x:c>
      <x:c r="C57" s="17" t="str">
        <x:v>L02</x:v>
      </x:c>
      <x:c r="D57" s="21" t="n">
        <x:v>44</x:v>
      </x:c>
      <x:c r="E57" s="21" t="n">
        <x:v>52</x:v>
      </x:c>
      <x:c r="F57" s="17" t="str">
        <x:v>完整单产品班次</x:v>
      </x:c>
      <x:c r="G57" s="18" t="n">
        <x:v>26400.000000000033</x:v>
      </x:c>
      <x:c r="H57" s="18" t="n">
        <x:v>33000</x:v>
      </x:c>
      <x:c r="I57" s="18" t="n">
        <x:v>30000</x:v>
      </x:c>
      <x:c r="J57" s="18" t="n">
        <x:v>27073</x:v>
      </x:c>
      <x:c r="K57" s="20" t="n">
        <x:v>0</x:v>
      </x:c>
      <x:c r="L57" s="19" t="n">
        <x:v>0.2820656608563379</x:v>
      </x:c>
      <x:c r="M57" s="18" t="n">
        <x:v>6000</x:v>
      </x:c>
      <x:c r="N57" s="18" t="n">
        <x:v>30000</x:v>
      </x:c>
      <x:c r="O57" s="21" t="n">
        <x:v>52</x:v>
      </x:c>
      <x:c r="P57" s="20" t="n">
        <x:v>0.48148148148148145</x:v>
      </x:c>
      <x:c r="Q57" s="20" t="n">
        <x:v>1</x:v>
      </x:c>
      <x:c r="R57" s="20" t="n">
        <x:v>1</x:v>
      </x:c>
      <x:c r="S57" s="20" t="n">
        <x:v>0</x:v>
      </x:c>
      <x:c r="T57" s="20" t="n">
        <x:v>0</x:v>
      </x:c>
      <x:c r="U57" s="20" t="n">
        <x:v>0.6000000000000001</x:v>
      </x:c>
      <x:c r="V57" s="17" t="n">
        <x:v>1</x:v>
      </x:c>
    </x:row>
    <x:row r="58" ht="20" customHeight="1">
      <x:c r="A58" s="17" t="str">
        <x:v>P0025</x:v>
      </x:c>
      <x:c r="B58" s="17" t="str">
        <x:v>Q03</x:v>
      </x:c>
      <x:c r="C58" s="17" t="str">
        <x:v>L14</x:v>
      </x:c>
      <x:c r="D58" s="21" t="n">
        <x:v>48</x:v>
      </x:c>
      <x:c r="E58" s="21" t="n">
        <x:v>56</x:v>
      </x:c>
      <x:c r="F58" s="17" t="str">
        <x:v>完整单产品班次</x:v>
      </x:c>
      <x:c r="G58" s="18" t="n">
        <x:v>5200</x:v>
      </x:c>
      <x:c r="H58" s="18" t="n">
        <x:v>28000</x:v>
      </x:c>
      <x:c r="I58" s="18" t="n">
        <x:v>5200</x:v>
      </x:c>
      <x:c r="J58" s="18" t="n">
        <x:v>5200</x:v>
      </x:c>
      <x:c r="K58" s="20" t="n">
        <x:v>0</x:v>
      </x:c>
      <x:c r="L58" s="19" t="n">
        <x:v>1</x:v>
      </x:c>
      <x:c r="M58" s="18" t="n">
        <x:v>5200</x:v>
      </x:c>
      <x:c r="N58" s="18" t="n">
        <x:v>5200</x:v>
      </x:c>
      <x:c r="O58" s="21" t="n">
        <x:v>56</x:v>
      </x:c>
      <x:c r="P58" s="20" t="n">
        <x:v>0.5185185185185185</x:v>
      </x:c>
      <x:c r="Q58" s="20" t="n">
        <x:v>0</x:v>
      </x:c>
      <x:c r="R58" s="20" t="n">
        <x:v>1</x:v>
      </x:c>
      <x:c r="S58" s="20" t="n">
        <x:v>1</x:v>
      </x:c>
      <x:c r="T58" s="20" t="n">
        <x:v>1</x:v>
      </x:c>
      <x:c r="U58" s="20" t="n">
        <x:v>0.6000000000000001</x:v>
      </x:c>
      <x:c r="V58" s="17" t="n">
        <x:v>1</x:v>
      </x:c>
    </x:row>
    <x:row r="59" ht="20" customHeight="1">
      <x:c r="A59" s="17" t="str">
        <x:v>P0026</x:v>
      </x:c>
      <x:c r="B59" s="17" t="str">
        <x:v>Q03</x:v>
      </x:c>
      <x:c r="C59" s="17" t="str">
        <x:v>L02</x:v>
      </x:c>
      <x:c r="D59" s="21" t="n">
        <x:v>25</x:v>
      </x:c>
      <x:c r="E59" s="21" t="n">
        <x:v>48</x:v>
      </x:c>
      <x:c r="F59" s="17" t="str">
        <x:v>完整单产品班次</x:v>
      </x:c>
      <x:c r="G59" s="18" t="n">
        <x:v>150000</x:v>
      </x:c>
      <x:c r="H59" s="18" t="n">
        <x:v>33000</x:v>
      </x:c>
      <x:c r="I59" s="18" t="n">
        <x:v>150000</x:v>
      </x:c>
      <x:c r="J59" s="18" t="n">
        <x:v>130500</x:v>
      </x:c>
      <x:c r="K59" s="20" t="n">
        <x:v>0</x:v>
      </x:c>
      <x:c r="L59" s="19" t="n">
        <x:v>0.34022988505747126</x:v>
      </x:c>
      <x:c r="M59" s="18" t="n">
        <x:v>30000</x:v>
      </x:c>
      <x:c r="N59" s="18" t="n">
        <x:v>150000</x:v>
      </x:c>
      <x:c r="O59" s="21" t="n">
        <x:v>48</x:v>
      </x:c>
      <x:c r="P59" s="20" t="n">
        <x:v>0.48</x:v>
      </x:c>
      <x:c r="Q59" s="20" t="n">
        <x:v>1</x:v>
      </x:c>
      <x:c r="R59" s="20" t="n">
        <x:v>1</x:v>
      </x:c>
      <x:c r="S59" s="20" t="n">
        <x:v>0</x:v>
      </x:c>
      <x:c r="T59" s="20" t="n">
        <x:v>0</x:v>
      </x:c>
      <x:c r="U59" s="20" t="n">
        <x:v>0.6000000000000001</x:v>
      </x:c>
      <x:c r="V59" s="17" t="n">
        <x:v>1</x:v>
      </x:c>
    </x:row>
    <x:row r="60" ht="20" customHeight="1">
      <x:c r="A60" s="17" t="str">
        <x:v>P0026</x:v>
      </x:c>
      <x:c r="B60" s="17" t="str">
        <x:v>Q03</x:v>
      </x:c>
      <x:c r="C60" s="17" t="str">
        <x:v>L14</x:v>
      </x:c>
      <x:c r="D60" s="21" t="n">
        <x:v>19</x:v>
      </x:c>
      <x:c r="E60" s="21" t="n">
        <x:v>52</x:v>
      </x:c>
      <x:c r="F60" s="17" t="str">
        <x:v>完整单产品班次</x:v>
      </x:c>
      <x:c r="G60" s="18" t="n">
        <x:v>26000</x:v>
      </x:c>
      <x:c r="H60" s="18" t="n">
        <x:v>28000</x:v>
      </x:c>
      <x:c r="I60" s="18" t="n">
        <x:v>26000</x:v>
      </x:c>
      <x:c r="J60" s="18" t="n">
        <x:v>26000</x:v>
      </x:c>
      <x:c r="K60" s="20" t="n">
        <x:v>0</x:v>
      </x:c>
      <x:c r="L60" s="19" t="n">
        <x:v>1</x:v>
      </x:c>
      <x:c r="M60" s="18" t="n">
        <x:v>26000</x:v>
      </x:c>
      <x:c r="N60" s="18" t="n">
        <x:v>26000</x:v>
      </x:c>
      <x:c r="O60" s="21" t="n">
        <x:v>52</x:v>
      </x:c>
      <x:c r="P60" s="20" t="n">
        <x:v>0.52</x:v>
      </x:c>
      <x:c r="Q60" s="20" t="n">
        <x:v>0</x:v>
      </x:c>
      <x:c r="R60" s="20" t="n">
        <x:v>1</x:v>
      </x:c>
      <x:c r="S60" s="20" t="n">
        <x:v>1</x:v>
      </x:c>
      <x:c r="T60" s="20" t="n">
        <x:v>1</x:v>
      </x:c>
      <x:c r="U60" s="20" t="n">
        <x:v>0.6000000000000001</x:v>
      </x:c>
      <x:c r="V60" s="17" t="n">
        <x:v>1</x:v>
      </x:c>
    </x:row>
    <x:row r="61" ht="20" customHeight="1">
      <x:c r="A61" s="17" t="str">
        <x:v>P0027</x:v>
      </x:c>
      <x:c r="B61" s="17" t="str">
        <x:v>Q03</x:v>
      </x:c>
      <x:c r="C61" s="17" t="str">
        <x:v>L02</x:v>
      </x:c>
      <x:c r="D61" s="21" t="n">
        <x:v>24</x:v>
      </x:c>
      <x:c r="E61" s="21" t="n">
        <x:v>29</x:v>
      </x:c>
      <x:c r="F61" s="17" t="str">
        <x:v>完整单产品班次</x:v>
      </x:c>
      <x:c r="G61" s="18" t="n">
        <x:v>6600</x:v>
      </x:c>
      <x:c r="H61" s="18" t="n">
        <x:v>33000</x:v>
      </x:c>
      <x:c r="I61" s="18" t="n">
        <x:v>6600</x:v>
      </x:c>
      <x:c r="J61" s="18" t="n">
        <x:v>6600</x:v>
      </x:c>
      <x:c r="K61" s="20" t="n">
        <x:v>0</x:v>
      </x:c>
      <x:c r="L61" s="19" t="n">
        <x:v>0.9204545454545454</x:v>
      </x:c>
      <x:c r="M61" s="18" t="n">
        <x:v>6000</x:v>
      </x:c>
      <x:c r="N61" s="18" t="n">
        <x:v>6600</x:v>
      </x:c>
      <x:c r="O61" s="21" t="n">
        <x:v>29</x:v>
      </x:c>
      <x:c r="P61" s="20" t="n">
        <x:v>0.2761904761904762</x:v>
      </x:c>
      <x:c r="Q61" s="20" t="n">
        <x:v>1</x:v>
      </x:c>
      <x:c r="R61" s="20" t="n">
        <x:v>1</x:v>
      </x:c>
      <x:c r="S61" s="20" t="n">
        <x:v>0</x:v>
      </x:c>
      <x:c r="T61" s="20" t="n">
        <x:v>0</x:v>
      </x:c>
      <x:c r="U61" s="20" t="n">
        <x:v>0.6000000000000001</x:v>
      </x:c>
      <x:c r="V61" s="17" t="n">
        <x:v>1</x:v>
      </x:c>
    </x:row>
    <x:row r="62" ht="20" customHeight="1">
      <x:c r="A62" s="17" t="str">
        <x:v>P0027</x:v>
      </x:c>
      <x:c r="B62" s="17" t="str">
        <x:v>Q03</x:v>
      </x:c>
      <x:c r="C62" s="17" t="str">
        <x:v>L14</x:v>
      </x:c>
      <x:c r="D62" s="21" t="n">
        <x:v>68</x:v>
      </x:c>
      <x:c r="E62" s="21" t="n">
        <x:v>76</x:v>
      </x:c>
      <x:c r="F62" s="17" t="str">
        <x:v>完整单产品班次</x:v>
      </x:c>
      <x:c r="G62" s="18" t="n">
        <x:v>5459.999999999999</x:v>
      </x:c>
      <x:c r="H62" s="18" t="n">
        <x:v>28000</x:v>
      </x:c>
      <x:c r="I62" s="18" t="n">
        <x:v>5600</x:v>
      </x:c>
      <x:c r="J62" s="18" t="n">
        <x:v>5600</x:v>
      </x:c>
      <x:c r="K62" s="20" t="n">
        <x:v>0</x:v>
      </x:c>
      <x:c r="L62" s="19" t="n">
        <x:v>0.9327731092436976</x:v>
      </x:c>
      <x:c r="M62" s="18" t="n">
        <x:v>5200</x:v>
      </x:c>
      <x:c r="N62" s="18" t="n">
        <x:v>5600</x:v>
      </x:c>
      <x:c r="O62" s="21" t="n">
        <x:v>76</x:v>
      </x:c>
      <x:c r="P62" s="20" t="n">
        <x:v>0.7238095238095238</x:v>
      </x:c>
      <x:c r="Q62" s="20" t="n">
        <x:v>0</x:v>
      </x:c>
      <x:c r="R62" s="20" t="n">
        <x:v>1</x:v>
      </x:c>
      <x:c r="S62" s="20" t="n">
        <x:v>1</x:v>
      </x:c>
      <x:c r="T62" s="20" t="n">
        <x:v>1</x:v>
      </x:c>
      <x:c r="U62" s="20" t="n">
        <x:v>0.6000000000000001</x:v>
      </x:c>
      <x:c r="V62" s="17" t="n">
        <x:v>1</x:v>
      </x:c>
    </x:row>
    <x:row r="63" ht="20" customHeight="1">
      <x:c r="A63" s="17" t="str">
        <x:v>P0028</x:v>
      </x:c>
      <x:c r="B63" s="17" t="str">
        <x:v>Q03</x:v>
      </x:c>
      <x:c r="C63" s="17" t="str">
        <x:v>L02</x:v>
      </x:c>
      <x:c r="D63" s="21" t="n">
        <x:v>12</x:v>
      </x:c>
      <x:c r="E63" s="21" t="n">
        <x:v>29</x:v>
      </x:c>
      <x:c r="F63" s="17" t="str">
        <x:v>完整单产品班次</x:v>
      </x:c>
      <x:c r="G63" s="18" t="n">
        <x:v>33000</x:v>
      </x:c>
      <x:c r="H63" s="18" t="n">
        <x:v>33000</x:v>
      </x:c>
      <x:c r="I63" s="18" t="n">
        <x:v>33000</x:v>
      </x:c>
      <x:c r="J63" s="18" t="n">
        <x:v>33000</x:v>
      </x:c>
      <x:c r="K63" s="20" t="n">
        <x:v>0</x:v>
      </x:c>
      <x:c r="L63" s="19" t="n">
        <x:v>0.9318181818181818</x:v>
      </x:c>
      <x:c r="M63" s="18" t="n">
        <x:v>30000</x:v>
      </x:c>
      <x:c r="N63" s="18" t="n">
        <x:v>33000</x:v>
      </x:c>
      <x:c r="O63" s="21" t="n">
        <x:v>29</x:v>
      </x:c>
      <x:c r="P63" s="20" t="n">
        <x:v>0.3020833333333333</x:v>
      </x:c>
      <x:c r="Q63" s="20" t="n">
        <x:v>1</x:v>
      </x:c>
      <x:c r="R63" s="20" t="n">
        <x:v>1</x:v>
      </x:c>
      <x:c r="S63" s="20" t="n">
        <x:v>0</x:v>
      </x:c>
      <x:c r="T63" s="20" t="n">
        <x:v>0</x:v>
      </x:c>
      <x:c r="U63" s="20" t="n">
        <x:v>0.6000000000000001</x:v>
      </x:c>
      <x:c r="V63" s="17" t="n">
        <x:v>1</x:v>
      </x:c>
    </x:row>
    <x:row r="64" ht="20" customHeight="1">
      <x:c r="A64" s="17" t="str">
        <x:v>P0028</x:v>
      </x:c>
      <x:c r="B64" s="17" t="str">
        <x:v>Q03</x:v>
      </x:c>
      <x:c r="C64" s="17" t="str">
        <x:v>L14</x:v>
      </x:c>
      <x:c r="D64" s="21" t="n">
        <x:v>20</x:v>
      </x:c>
      <x:c r="E64" s="21" t="n">
        <x:v>67</x:v>
      </x:c>
      <x:c r="F64" s="17" t="str">
        <x:v>完整单产品班次</x:v>
      </x:c>
      <x:c r="G64" s="18" t="n">
        <x:v>28000</x:v>
      </x:c>
      <x:c r="H64" s="18" t="n">
        <x:v>28000</x:v>
      </x:c>
      <x:c r="I64" s="18" t="n">
        <x:v>28000</x:v>
      </x:c>
      <x:c r="J64" s="18" t="n">
        <x:v>28000</x:v>
      </x:c>
      <x:c r="K64" s="20" t="n">
        <x:v>0</x:v>
      </x:c>
      <x:c r="L64" s="19" t="n">
        <x:v>0.9428571428571428</x:v>
      </x:c>
      <x:c r="M64" s="18" t="n">
        <x:v>26100</x:v>
      </x:c>
      <x:c r="N64" s="18" t="n">
        <x:v>28000</x:v>
      </x:c>
      <x:c r="O64" s="21" t="n">
        <x:v>67</x:v>
      </x:c>
      <x:c r="P64" s="20" t="n">
        <x:v>0.6979166666666666</x:v>
      </x:c>
      <x:c r="Q64" s="20" t="n">
        <x:v>0</x:v>
      </x:c>
      <x:c r="R64" s="20" t="n">
        <x:v>1</x:v>
      </x:c>
      <x:c r="S64" s="20" t="n">
        <x:v>1</x:v>
      </x:c>
      <x:c r="T64" s="20" t="n">
        <x:v>1</x:v>
      </x:c>
      <x:c r="U64" s="20" t="n">
        <x:v>0.6000000000000001</x:v>
      </x:c>
      <x:c r="V64" s="17" t="n">
        <x:v>1</x:v>
      </x:c>
    </x:row>
    <x:row r="65" ht="20" customHeight="1">
      <x:c r="A65" s="17" t="str">
        <x:v>P0029</x:v>
      </x:c>
      <x:c r="B65" s="17" t="str">
        <x:v>Q03</x:v>
      </x:c>
      <x:c r="C65" s="17" t="str">
        <x:v>L05</x:v>
      </x:c>
      <x:c r="D65" s="21" t="n">
        <x:v>5</x:v>
      </x:c>
      <x:c r="E65" s="21" t="n">
        <x:v>5</x:v>
      </x:c>
      <x:c r="F65" s="17" t="str">
        <x:v>完整单产品班次</x:v>
      </x:c>
      <x:c r="G65" s="18" t="n">
        <x:v>1576</x:v>
      </x:c>
      <x:c r="H65" s="18" t="n">
        <x:v>4000</x:v>
      </x:c>
      <x:c r="I65" s="18" t="n">
        <x:v>1595</x:v>
      </x:c>
      <x:c r="J65" s="18" t="n">
        <x:v>1595</x:v>
      </x:c>
      <x:c r="K65" s="20" t="n">
        <x:v>0</x:v>
      </x:c>
      <x:c r="L65" s="19" t="n">
        <x:v>0.9523510971786834</x:v>
      </x:c>
      <x:c r="M65" s="18" t="n">
        <x:v>1500</x:v>
      </x:c>
      <x:c r="N65" s="18" t="n">
        <x:v>1595</x:v>
      </x:c>
      <x:c r="O65" s="21" t="n">
        <x:v>5</x:v>
      </x:c>
      <x:c r="P65" s="20" t="n">
        <x:v>1</x:v>
      </x:c>
      <x:c r="Q65" s="20" t="n">
        <x:v>1</x:v>
      </x:c>
      <x:c r="R65" s="20" t="n">
        <x:v>1</x:v>
      </x:c>
      <x:c r="S65" s="20" t="n">
        <x:v>1</x:v>
      </x:c>
      <x:c r="T65" s="20" t="n">
        <x:v>1</x:v>
      </x:c>
      <x:c r="U65" s="20" t="n">
        <x:v>1</x:v>
      </x:c>
      <x:c r="V65" s="17" t="n">
        <x:v>1</x:v>
      </x:c>
    </x:row>
    <x:row r="66" ht="20" customHeight="1">
      <x:c r="A66" s="17" t="str">
        <x:v>P0030</x:v>
      </x:c>
      <x:c r="B66" s="17" t="str">
        <x:v>Q03</x:v>
      </x:c>
      <x:c r="C66" s="17" t="str">
        <x:v>L06</x:v>
      </x:c>
      <x:c r="D66" s="21" t="n">
        <x:v>4</x:v>
      </x:c>
      <x:c r="E66" s="21" t="n">
        <x:v>7</x:v>
      </x:c>
      <x:c r="F66" s="17" t="str">
        <x:v>完整单产品班次</x:v>
      </x:c>
      <x:c r="G66" s="18" t="n">
        <x:v>18000</x:v>
      </x:c>
      <x:c r="H66" s="18" t="n">
        <x:v>34000</x:v>
      </x:c>
      <x:c r="I66" s="18" t="n">
        <x:v>18000</x:v>
      </x:c>
      <x:c r="J66" s="18" t="n">
        <x:v>18000</x:v>
      </x:c>
      <x:c r="K66" s="20" t="n">
        <x:v>0.1347818181818182</x:v>
      </x:c>
      <x:c r="L66" s="19" t="n">
        <x:v>0.9166666666666666</x:v>
      </x:c>
      <x:c r="M66" s="18" t="n">
        <x:v>15000</x:v>
      </x:c>
      <x:c r="N66" s="18" t="n">
        <x:v>18000</x:v>
      </x:c>
      <x:c r="O66" s="21" t="n">
        <x:v>7</x:v>
      </x:c>
      <x:c r="P66" s="20" t="n">
        <x:v>0.875</x:v>
      </x:c>
      <x:c r="Q66" s="20" t="n">
        <x:v>1</x:v>
      </x:c>
      <x:c r="R66" s="20" t="n">
        <x:v>0</x:v>
      </x:c>
      <x:c r="S66" s="20" t="n">
        <x:v>0</x:v>
      </x:c>
      <x:c r="T66" s="20" t="n">
        <x:v>1</x:v>
      </x:c>
      <x:c r="U66" s="20" t="n">
        <x:v>0.6000000000000001</x:v>
      </x:c>
      <x:c r="V66" s="17" t="n">
        <x:v>1</x:v>
      </x:c>
    </x:row>
    <x:row r="67" ht="20" customHeight="1">
      <x:c r="A67" s="17" t="str">
        <x:v>P0030</x:v>
      </x:c>
      <x:c r="B67" s="17" t="str">
        <x:v>Q03</x:v>
      </x:c>
      <x:c r="C67" s="17" t="str">
        <x:v>L07</x:v>
      </x:c>
      <x:c r="D67" s="21" t="n">
        <x:v>1</x:v>
      </x:c>
      <x:c r="E67" s="21" t="n">
        <x:v>1</x:v>
      </x:c>
      <x:c r="F67" s="17" t="str">
        <x:v>冲突或缺班次回退</x:v>
      </x:c>
      <x:c r="G67" s="18" t="n">
        <x:v>1470</x:v>
      </x:c>
      <x:c r="H67" s="18" t="n">
        <x:v>10683</x:v>
      </x:c>
      <x:c r="I67" s="18" t="n">
        <x:v>1470</x:v>
      </x:c>
      <x:c r="J67" s="18" t="n">
        <x:v>1470</x:v>
      </x:c>
      <x:c r="K67" s="20" t="n">
        <x:v>0</x:v>
      </x:c>
      <x:c r="L67" s="19" t="n">
        <x:v>1</x:v>
      </x:c>
      <x:c r="M67" s="18" t="n">
        <x:v>1470</x:v>
      </x:c>
      <x:c r="N67" s="18" t="n">
        <x:v>1470</x:v>
      </x:c>
      <x:c r="O67" s="21" t="n">
        <x:v>1</x:v>
      </x:c>
      <x:c r="P67" s="20" t="n">
        <x:v>0.125</x:v>
      </x:c>
      <x:c r="Q67" s="20" t="n">
        <x:v>0</x:v>
      </x:c>
      <x:c r="R67" s="20" t="n">
        <x:v>1</x:v>
      </x:c>
      <x:c r="S67" s="20" t="n">
        <x:v>1</x:v>
      </x:c>
      <x:c r="T67" s="20" t="n">
        <x:v>0</x:v>
      </x:c>
      <x:c r="U67" s="20" t="n">
        <x:v>0.4</x:v>
      </x:c>
      <x:c r="V67" s="17" t="n">
        <x:v>2</x:v>
      </x:c>
    </x:row>
    <x:row r="68" ht="20" customHeight="1">
      <x:c r="A68" s="17" t="str">
        <x:v>P0031</x:v>
      </x:c>
      <x:c r="B68" s="17" t="str">
        <x:v>Q03</x:v>
      </x:c>
      <x:c r="C68" s="17" t="str">
        <x:v>L05</x:v>
      </x:c>
      <x:c r="D68" s="21" t="n">
        <x:v>2</x:v>
      </x:c>
      <x:c r="E68" s="21" t="n">
        <x:v>10</x:v>
      </x:c>
      <x:c r="F68" s="17" t="str">
        <x:v>完整单产品班次</x:v>
      </x:c>
      <x:c r="G68" s="18" t="n">
        <x:v>107.45</x:v>
      </x:c>
      <x:c r="H68" s="18" t="n">
        <x:v>4000</x:v>
      </x:c>
      <x:c r="I68" s="18" t="n">
        <x:v>110</x:v>
      </x:c>
      <x:c r="J68" s="18" t="n">
        <x:v>110</x:v>
      </x:c>
      <x:c r="K68" s="20" t="n">
        <x:v>0.44741183431952664</x:v>
      </x:c>
      <x:c r="L68" s="19" t="n">
        <x:v>0.7681818181818182</x:v>
      </x:c>
      <x:c r="M68" s="18" t="n">
        <x:v>59</x:v>
      </x:c>
      <x:c r="N68" s="18" t="n">
        <x:v>110</x:v>
      </x:c>
      <x:c r="O68" s="21" t="n">
        <x:v>10</x:v>
      </x:c>
      <x:c r="P68" s="20" t="n">
        <x:v>1</x:v>
      </x:c>
      <x:c r="Q68" s="20" t="n">
        <x:v>1</x:v>
      </x:c>
      <x:c r="R68" s="20" t="n">
        <x:v>1</x:v>
      </x:c>
      <x:c r="S68" s="20" t="n">
        <x:v>1</x:v>
      </x:c>
      <x:c r="T68" s="20" t="n">
        <x:v>1</x:v>
      </x:c>
      <x:c r="U68" s="20" t="n">
        <x:v>1</x:v>
      </x:c>
      <x:c r="V68" s="17" t="n">
        <x:v>1</x:v>
      </x:c>
    </x:row>
    <x:row r="69" ht="20" customHeight="1">
      <x:c r="A69" s="17" t="str">
        <x:v>P0032</x:v>
      </x:c>
      <x:c r="B69" s="17" t="str">
        <x:v>Q03</x:v>
      </x:c>
      <x:c r="C69" s="17" t="str">
        <x:v>L09</x:v>
      </x:c>
      <x:c r="D69" s="21" t="n">
        <x:v>4</x:v>
      </x:c>
      <x:c r="E69" s="21" t="n">
        <x:v>6</x:v>
      </x:c>
      <x:c r="F69" s="17" t="str">
        <x:v>完整单产品班次</x:v>
      </x:c>
      <x:c r="G69" s="18" t="n">
        <x:v>11850</x:v>
      </x:c>
      <x:c r="H69" s="18" t="n">
        <x:v>19000</x:v>
      </x:c>
      <x:c r="I69" s="18" t="n">
        <x:v>12000</x:v>
      </x:c>
      <x:c r="J69" s="18" t="n">
        <x:v>12000</x:v>
      </x:c>
      <x:c r="K69" s="20" t="n">
        <x:v>0.0706</x:v>
      </x:c>
      <x:c r="L69" s="19" t="n">
        <x:v>0.8958333333333334</x:v>
      </x:c>
      <x:c r="M69" s="18" t="n">
        <x:v>10000</x:v>
      </x:c>
      <x:c r="N69" s="18" t="n">
        <x:v>12000</x:v>
      </x:c>
      <x:c r="O69" s="21" t="n">
        <x:v>6</x:v>
      </x:c>
      <x:c r="P69" s="20" t="n">
        <x:v>1</x:v>
      </x:c>
      <x:c r="Q69" s="20" t="n">
        <x:v>1</x:v>
      </x:c>
      <x:c r="R69" s="20" t="n">
        <x:v>1</x:v>
      </x:c>
      <x:c r="S69" s="20" t="n">
        <x:v>1</x:v>
      </x:c>
      <x:c r="T69" s="20" t="n">
        <x:v>1</x:v>
      </x:c>
      <x:c r="U69" s="20" t="n">
        <x:v>1</x:v>
      </x:c>
      <x:c r="V69" s="17" t="n">
        <x:v>1</x:v>
      </x:c>
    </x:row>
    <x:row r="70" ht="20" customHeight="1">
      <x:c r="A70" s="17" t="str">
        <x:v>P0033</x:v>
      </x:c>
      <x:c r="B70" s="17" t="str">
        <x:v>Q03</x:v>
      </x:c>
      <x:c r="C70" s="17" t="str">
        <x:v>L05</x:v>
      </x:c>
      <x:c r="D70" s="21" t="n">
        <x:v>5</x:v>
      </x:c>
      <x:c r="E70" s="21" t="n">
        <x:v>7</x:v>
      </x:c>
      <x:c r="F70" s="17" t="str">
        <x:v>完整单产品班次</x:v>
      </x:c>
      <x:c r="G70" s="18" t="n">
        <x:v>1500</x:v>
      </x:c>
      <x:c r="H70" s="18" t="n">
        <x:v>4000</x:v>
      </x:c>
      <x:c r="I70" s="18" t="n">
        <x:v>1500</x:v>
      </x:c>
      <x:c r="J70" s="18" t="n">
        <x:v>1500</x:v>
      </x:c>
      <x:c r="K70" s="20" t="n">
        <x:v>0</x:v>
      </x:c>
      <x:c r="L70" s="19" t="n">
        <x:v>0.9866666666666667</x:v>
      </x:c>
      <x:c r="M70" s="18" t="n">
        <x:v>1500</x:v>
      </x:c>
      <x:c r="N70" s="18" t="n">
        <x:v>1500</x:v>
      </x:c>
      <x:c r="O70" s="21" t="n">
        <x:v>7</x:v>
      </x:c>
      <x:c r="P70" s="20" t="n">
        <x:v>1</x:v>
      </x:c>
      <x:c r="Q70" s="20" t="n">
        <x:v>1</x:v>
      </x:c>
      <x:c r="R70" s="20" t="n">
        <x:v>1</x:v>
      </x:c>
      <x:c r="S70" s="20" t="n">
        <x:v>1</x:v>
      </x:c>
      <x:c r="T70" s="20" t="n">
        <x:v>1</x:v>
      </x:c>
      <x:c r="U70" s="20" t="n">
        <x:v>1</x:v>
      </x:c>
      <x:c r="V70" s="17" t="n">
        <x:v>1</x:v>
      </x:c>
    </x:row>
    <x:row r="71" ht="20" customHeight="1">
      <x:c r="A71" s="17" t="str">
        <x:v>P0034</x:v>
      </x:c>
      <x:c r="B71" s="17" t="str">
        <x:v>Q11</x:v>
      </x:c>
      <x:c r="C71" s="17" t="str">
        <x:v>L13</x:v>
      </x:c>
      <x:c r="D71" s="21" t="n">
        <x:v>2</x:v>
      </x:c>
      <x:c r="E71" s="21" t="n">
        <x:v>4</x:v>
      </x:c>
      <x:c r="F71" s="17" t="str">
        <x:v>完整单产品班次</x:v>
      </x:c>
      <x:c r="G71" s="18" t="n">
        <x:v>17790</x:v>
      </x:c>
      <x:c r="H71" s="18" t="n">
        <x:v>16672.799999999996</x:v>
      </x:c>
      <x:c r="I71" s="18" t="n">
        <x:v>18000</x:v>
      </x:c>
      <x:c r="J71" s="18" t="n">
        <x:v>16991</x:v>
      </x:c>
      <x:c r="K71" s="20" t="n">
        <x:v>0.19581509433962263</x:v>
      </x:c>
      <x:c r="L71" s="19" t="n">
        <x:v>0.9357895356365135</x:v>
      </x:c>
      <x:c r="M71" s="18" t="n">
        <x:v>13800</x:v>
      </x:c>
      <x:c r="N71" s="18" t="n">
        <x:v>18000</x:v>
      </x:c>
      <x:c r="O71" s="21" t="n">
        <x:v>4</x:v>
      </x:c>
      <x:c r="P71" s="20" t="n">
        <x:v>1</x:v>
      </x:c>
      <x:c r="Q71" s="20" t="n">
        <x:v>1</x:v>
      </x:c>
      <x:c r="R71" s="20" t="n">
        <x:v>1</x:v>
      </x:c>
      <x:c r="S71" s="20" t="n">
        <x:v>1</x:v>
      </x:c>
      <x:c r="T71" s="20" t="n">
        <x:v>1</x:v>
      </x:c>
      <x:c r="U71" s="20" t="n">
        <x:v>1</x:v>
      </x:c>
      <x:c r="V71" s="17" t="n">
        <x:v>1</x:v>
      </x:c>
    </x:row>
    <x:row r="72" ht="20" customHeight="1">
      <x:c r="A72" s="17" t="str">
        <x:v>P0035</x:v>
      </x:c>
      <x:c r="B72" s="17" t="str">
        <x:v>Q03</x:v>
      </x:c>
      <x:c r="C72" s="17" t="str">
        <x:v>L09</x:v>
      </x:c>
      <x:c r="D72" s="21" t="n">
        <x:v>2</x:v>
      </x:c>
      <x:c r="E72" s="21" t="n">
        <x:v>2</x:v>
      </x:c>
      <x:c r="F72" s="17" t="str">
        <x:v>完整单产品班次</x:v>
      </x:c>
      <x:c r="G72" s="18" t="n">
        <x:v>16050</x:v>
      </x:c>
      <x:c r="H72" s="18" t="n">
        <x:v>19000</x:v>
      </x:c>
      <x:c r="I72" s="18" t="n">
        <x:v>16050</x:v>
      </x:c>
      <x:c r="J72" s="18" t="n">
        <x:v>16050</x:v>
      </x:c>
      <x:c r="K72" s="20" t="n">
        <x:v>0</x:v>
      </x:c>
      <x:c r="L72" s="19" t="n">
        <x:v>1</x:v>
      </x:c>
      <x:c r="M72" s="18" t="n">
        <x:v>16050</x:v>
      </x:c>
      <x:c r="N72" s="18" t="n">
        <x:v>16050</x:v>
      </x:c>
      <x:c r="O72" s="21" t="n">
        <x:v>2</x:v>
      </x:c>
      <x:c r="P72" s="20" t="n">
        <x:v>1</x:v>
      </x:c>
      <x:c r="Q72" s="20" t="n">
        <x:v>1</x:v>
      </x:c>
      <x:c r="R72" s="20" t="n">
        <x:v>1</x:v>
      </x:c>
      <x:c r="S72" s="20" t="n">
        <x:v>1</x:v>
      </x:c>
      <x:c r="T72" s="20" t="n">
        <x:v>1</x:v>
      </x:c>
      <x:c r="U72" s="20" t="n">
        <x:v>1</x:v>
      </x:c>
      <x:c r="V72" s="17" t="n">
        <x:v>1</x:v>
      </x:c>
    </x:row>
    <x:row r="73" ht="20" customHeight="1">
      <x:c r="A73" s="17" t="str">
        <x:v>P0036</x:v>
      </x:c>
      <x:c r="B73" s="17" t="str">
        <x:v>Q03</x:v>
      </x:c>
      <x:c r="C73" s="17" t="str">
        <x:v>L05</x:v>
      </x:c>
      <x:c r="D73" s="21" t="n">
        <x:v>4</x:v>
      </x:c>
      <x:c r="E73" s="21" t="n">
        <x:v>7</x:v>
      </x:c>
      <x:c r="F73" s="17" t="str">
        <x:v>完整单产品班次</x:v>
      </x:c>
      <x:c r="G73" s="18" t="n">
        <x:v>150</x:v>
      </x:c>
      <x:c r="H73" s="18" t="n">
        <x:v>4000</x:v>
      </x:c>
      <x:c r="I73" s="18" t="n">
        <x:v>150</x:v>
      </x:c>
      <x:c r="J73" s="18" t="n">
        <x:v>150</x:v>
      </x:c>
      <x:c r="K73" s="20" t="n">
        <x:v>0</x:v>
      </x:c>
      <x:c r="L73" s="19" t="n">
        <x:v>0.93</x:v>
      </x:c>
      <x:c r="M73" s="18" t="n">
        <x:v>143.7</x:v>
      </x:c>
      <x:c r="N73" s="18" t="n">
        <x:v>150</x:v>
      </x:c>
      <x:c r="O73" s="21" t="n">
        <x:v>7</x:v>
      </x:c>
      <x:c r="P73" s="20" t="n">
        <x:v>1</x:v>
      </x:c>
      <x:c r="Q73" s="20" t="n">
        <x:v>1</x:v>
      </x:c>
      <x:c r="R73" s="20" t="n">
        <x:v>1</x:v>
      </x:c>
      <x:c r="S73" s="20" t="n">
        <x:v>1</x:v>
      </x:c>
      <x:c r="T73" s="20" t="n">
        <x:v>1</x:v>
      </x:c>
      <x:c r="U73" s="20" t="n">
        <x:v>1</x:v>
      </x:c>
      <x:c r="V73" s="17" t="n">
        <x:v>1</x:v>
      </x:c>
    </x:row>
    <x:row r="74" ht="20" customHeight="1">
      <x:c r="A74" s="17" t="str">
        <x:v>P0037</x:v>
      </x:c>
      <x:c r="B74" s="17" t="str">
        <x:v>Q03</x:v>
      </x:c>
      <x:c r="C74" s="17" t="str">
        <x:v>L07</x:v>
      </x:c>
      <x:c r="D74" s="21" t="n">
        <x:v>1</x:v>
      </x:c>
      <x:c r="E74" s="21" t="n">
        <x:v>3</x:v>
      </x:c>
      <x:c r="F74" s="17" t="str">
        <x:v>完整单产品班次</x:v>
      </x:c>
      <x:c r="G74" s="18" t="n">
        <x:v>10704</x:v>
      </x:c>
      <x:c r="H74" s="18" t="n">
        <x:v>10683</x:v>
      </x:c>
      <x:c r="I74" s="18" t="n">
        <x:v>10704</x:v>
      </x:c>
      <x:c r="J74" s="18" t="n">
        <x:v>10686</x:v>
      </x:c>
      <x:c r="K74" s="20" t="n">
        <x:v>0</x:v>
      </x:c>
      <x:c r="L74" s="19" t="n">
        <x:v>1.0016844469399213</x:v>
      </x:c>
      <x:c r="M74" s="18" t="n">
        <x:v>10704</x:v>
      </x:c>
      <x:c r="N74" s="18" t="n">
        <x:v>10704</x:v>
      </x:c>
      <x:c r="O74" s="21" t="n">
        <x:v>3</x:v>
      </x:c>
      <x:c r="P74" s="20" t="n">
        <x:v>1</x:v>
      </x:c>
      <x:c r="Q74" s="20" t="n">
        <x:v>1</x:v>
      </x:c>
      <x:c r="R74" s="20" t="n">
        <x:v>1</x:v>
      </x:c>
      <x:c r="S74" s="20" t="n">
        <x:v>1</x:v>
      </x:c>
      <x:c r="T74" s="20" t="n">
        <x:v>1</x:v>
      </x:c>
      <x:c r="U74" s="20" t="n">
        <x:v>1</x:v>
      </x:c>
      <x:c r="V74" s="17" t="n">
        <x:v>1</x:v>
      </x:c>
    </x:row>
    <x:row r="75" ht="20" customHeight="1">
      <x:c r="A75" s="17" t="str">
        <x:v>P0038</x:v>
      </x:c>
      <x:c r="B75" s="17" t="str">
        <x:v>Q03</x:v>
      </x:c>
      <x:c r="C75" s="17" t="str">
        <x:v>L07</x:v>
      </x:c>
      <x:c r="D75" s="21" t="n">
        <x:v>2</x:v>
      </x:c>
      <x:c r="E75" s="21" t="n">
        <x:v>4</x:v>
      </x:c>
      <x:c r="F75" s="17" t="str">
        <x:v>完整单产品班次</x:v>
      </x:c>
      <x:c r="G75" s="18" t="n">
        <x:v>9697.5</x:v>
      </x:c>
      <x:c r="H75" s="18" t="n">
        <x:v>10683</x:v>
      </x:c>
      <x:c r="I75" s="18" t="n">
        <x:v>10200</x:v>
      </x:c>
      <x:c r="J75" s="18" t="n">
        <x:v>10200</x:v>
      </x:c>
      <x:c r="K75" s="20" t="n">
        <x:v>1.4396260869565216</x:v>
      </x:c>
      <x:c r="L75" s="19" t="n">
        <x:v>0.5073529411764706</x:v>
      </x:c>
      <x:c r="M75" s="18" t="n">
        <x:v>150</x:v>
      </x:c>
      <x:c r="N75" s="18" t="n">
        <x:v>10200</x:v>
      </x:c>
      <x:c r="O75" s="21" t="n">
        <x:v>4</x:v>
      </x:c>
      <x:c r="P75" s="20" t="n">
        <x:v>1</x:v>
      </x:c>
      <x:c r="Q75" s="20" t="n">
        <x:v>1</x:v>
      </x:c>
      <x:c r="R75" s="20" t="n">
        <x:v>1</x:v>
      </x:c>
      <x:c r="S75" s="20" t="n">
        <x:v>1</x:v>
      </x:c>
      <x:c r="T75" s="20" t="n">
        <x:v>1</x:v>
      </x:c>
      <x:c r="U75" s="20" t="n">
        <x:v>1</x:v>
      </x:c>
      <x:c r="V75" s="17" t="n">
        <x:v>1</x:v>
      </x:c>
    </x:row>
    <x:row r="76" ht="20" customHeight="1">
      <x:c r="A76" s="17" t="str">
        <x:v>P0039</x:v>
      </x:c>
      <x:c r="B76" s="17" t="str">
        <x:v>Q03</x:v>
      </x:c>
      <x:c r="C76" s="17" t="str">
        <x:v>L07</x:v>
      </x:c>
      <x:c r="D76" s="21" t="n">
        <x:v>1</x:v>
      </x:c>
      <x:c r="E76" s="21" t="n">
        <x:v>3</x:v>
      </x:c>
      <x:c r="F76" s="17" t="str">
        <x:v>完整单产品班次</x:v>
      </x:c>
      <x:c r="G76" s="18" t="n">
        <x:v>10400</x:v>
      </x:c>
      <x:c r="H76" s="18" t="n">
        <x:v>10683</x:v>
      </x:c>
      <x:c r="I76" s="18" t="n">
        <x:v>10400</x:v>
      </x:c>
      <x:c r="J76" s="18" t="n">
        <x:v>10400</x:v>
      </x:c>
      <x:c r="K76" s="20" t="n">
        <x:v>0</x:v>
      </x:c>
      <x:c r="L76" s="19" t="n">
        <x:v>1</x:v>
      </x:c>
      <x:c r="M76" s="18" t="n">
        <x:v>10400</x:v>
      </x:c>
      <x:c r="N76" s="18" t="n">
        <x:v>10400</x:v>
      </x:c>
      <x:c r="O76" s="21" t="n">
        <x:v>3</x:v>
      </x:c>
      <x:c r="P76" s="20" t="n">
        <x:v>1</x:v>
      </x:c>
      <x:c r="Q76" s="20" t="n">
        <x:v>1</x:v>
      </x:c>
      <x:c r="R76" s="20" t="n">
        <x:v>1</x:v>
      </x:c>
      <x:c r="S76" s="20" t="n">
        <x:v>1</x:v>
      </x:c>
      <x:c r="T76" s="20" t="n">
        <x:v>1</x:v>
      </x:c>
      <x:c r="U76" s="20" t="n">
        <x:v>1</x:v>
      </x:c>
      <x:c r="V76" s="17" t="n">
        <x:v>1</x:v>
      </x:c>
    </x:row>
    <x:row r="77" ht="20" customHeight="1">
      <x:c r="A77" s="17" t="str">
        <x:v>P0040</x:v>
      </x:c>
      <x:c r="B77" s="17" t="str">
        <x:v>Q03</x:v>
      </x:c>
      <x:c r="C77" s="17" t="str">
        <x:v>L07</x:v>
      </x:c>
      <x:c r="D77" s="21" t="n">
        <x:v>1</x:v>
      </x:c>
      <x:c r="E77" s="21" t="n">
        <x:v>3</x:v>
      </x:c>
      <x:c r="F77" s="17" t="str">
        <x:v>完整单产品班次</x:v>
      </x:c>
      <x:c r="G77" s="18" t="n">
        <x:v>10500</x:v>
      </x:c>
      <x:c r="H77" s="18" t="n">
        <x:v>10683</x:v>
      </x:c>
      <x:c r="I77" s="18" t="n">
        <x:v>10500</x:v>
      </x:c>
      <x:c r="J77" s="18" t="n">
        <x:v>10500</x:v>
      </x:c>
      <x:c r="K77" s="20" t="n">
        <x:v>0</x:v>
      </x:c>
      <x:c r="L77" s="19" t="n">
        <x:v>1</x:v>
      </x:c>
      <x:c r="M77" s="18" t="n">
        <x:v>10500</x:v>
      </x:c>
      <x:c r="N77" s="18" t="n">
        <x:v>10500</x:v>
      </x:c>
      <x:c r="O77" s="21" t="n">
        <x:v>3</x:v>
      </x:c>
      <x:c r="P77" s="20" t="n">
        <x:v>1</x:v>
      </x:c>
      <x:c r="Q77" s="20" t="n">
        <x:v>1</x:v>
      </x:c>
      <x:c r="R77" s="20" t="n">
        <x:v>1</x:v>
      </x:c>
      <x:c r="S77" s="20" t="n">
        <x:v>1</x:v>
      </x:c>
      <x:c r="T77" s="20" t="n">
        <x:v>1</x:v>
      </x:c>
      <x:c r="U77" s="20" t="n">
        <x:v>1</x:v>
      </x:c>
      <x:c r="V77" s="17" t="n">
        <x:v>1</x:v>
      </x:c>
    </x:row>
    <x:row r="78" ht="20" customHeight="1">
      <x:c r="A78" s="17" t="str">
        <x:v>P0041</x:v>
      </x:c>
      <x:c r="B78" s="17" t="str">
        <x:v>Q02</x:v>
      </x:c>
      <x:c r="C78" s="17" t="str">
        <x:v>L02</x:v>
      </x:c>
      <x:c r="D78" s="21" t="n">
        <x:v>1</x:v>
      </x:c>
      <x:c r="E78" s="21" t="n">
        <x:v>1</x:v>
      </x:c>
      <x:c r="F78" s="17" t="str">
        <x:v>冲突或缺班次回退</x:v>
      </x:c>
      <x:c r="G78" s="18" t="n">
        <x:v>36</x:v>
      </x:c>
      <x:c r="H78" s="18" t="n">
        <x:v>36</x:v>
      </x:c>
      <x:c r="I78" s="18" t="n">
        <x:v>36</x:v>
      </x:c>
      <x:c r="J78" s="18" t="n">
        <x:v>36</x:v>
      </x:c>
      <x:c r="K78" s="20" t="n">
        <x:v>0</x:v>
      </x:c>
      <x:c r="L78" s="19" t="n">
        <x:v>1</x:v>
      </x:c>
      <x:c r="M78" s="18" t="n">
        <x:v>36</x:v>
      </x:c>
      <x:c r="N78" s="18" t="n">
        <x:v>36</x:v>
      </x:c>
      <x:c r="O78" s="21" t="n">
        <x:v>1</x:v>
      </x:c>
      <x:c r="P78" s="20" t="n">
        <x:v>0.1</x:v>
      </x:c>
      <x:c r="Q78" s="20" t="n">
        <x:v>0</x:v>
      </x:c>
      <x:c r="R78" s="20" t="n">
        <x:v>1</x:v>
      </x:c>
      <x:c r="S78" s="20" t="n">
        <x:v>1</x:v>
      </x:c>
      <x:c r="T78" s="20" t="n">
        <x:v>0</x:v>
      </x:c>
      <x:c r="U78" s="20" t="n">
        <x:v>0.4</x:v>
      </x:c>
      <x:c r="V78" s="17" t="n">
        <x:v>2</x:v>
      </x:c>
    </x:row>
    <x:row r="79" ht="20" customHeight="1">
      <x:c r="A79" s="17" t="str">
        <x:v>P0041</x:v>
      </x:c>
      <x:c r="B79" s="17" t="str">
        <x:v>Q02</x:v>
      </x:c>
      <x:c r="C79" s="17" t="str">
        <x:v>L07</x:v>
      </x:c>
      <x:c r="D79" s="21" t="n">
        <x:v>8</x:v>
      </x:c>
      <x:c r="E79" s="21" t="n">
        <x:v>9</x:v>
      </x:c>
      <x:c r="F79" s="17" t="str">
        <x:v>完整单产品班次</x:v>
      </x:c>
      <x:c r="G79" s="18" t="n">
        <x:v>21000</x:v>
      </x:c>
      <x:c r="H79" s="18" t="n">
        <x:v>21000</x:v>
      </x:c>
      <x:c r="I79" s="18" t="n">
        <x:v>21000</x:v>
      </x:c>
      <x:c r="J79" s="18" t="n">
        <x:v>21000</x:v>
      </x:c>
      <x:c r="K79" s="20" t="n">
        <x:v>0</x:v>
      </x:c>
      <x:c r="L79" s="19" t="n">
        <x:v>1</x:v>
      </x:c>
      <x:c r="M79" s="18" t="n">
        <x:v>21000</x:v>
      </x:c>
      <x:c r="N79" s="18" t="n">
        <x:v>21000</x:v>
      </x:c>
      <x:c r="O79" s="21" t="n">
        <x:v>9</x:v>
      </x:c>
      <x:c r="P79" s="20" t="n">
        <x:v>0.9</x:v>
      </x:c>
      <x:c r="Q79" s="20" t="n">
        <x:v>1</x:v>
      </x:c>
      <x:c r="R79" s="20" t="n">
        <x:v>1</x:v>
      </x:c>
      <x:c r="S79" s="20" t="n">
        <x:v>1</x:v>
      </x:c>
      <x:c r="T79" s="20" t="n">
        <x:v>1</x:v>
      </x:c>
      <x:c r="U79" s="20" t="n">
        <x:v>1</x:v>
      </x:c>
      <x:c r="V79" s="17" t="n">
        <x:v>1</x:v>
      </x:c>
    </x:row>
    <x:row r="80" ht="20" customHeight="1">
      <x:c r="A80" s="17" t="str">
        <x:v>P0042</x:v>
      </x:c>
      <x:c r="B80" s="17" t="str">
        <x:v>Q03</x:v>
      </x:c>
      <x:c r="C80" s="17" t="str">
        <x:v>L12</x:v>
      </x:c>
      <x:c r="D80" s="21" t="n">
        <x:v>1</x:v>
      </x:c>
      <x:c r="E80" s="21" t="n">
        <x:v>1</x:v>
      </x:c>
      <x:c r="F80" s="17" t="str">
        <x:v>冲突或缺班次回退</x:v>
      </x:c>
      <x:c r="G80" s="18" t="n">
        <x:v>546</x:v>
      </x:c>
      <x:c r="H80" s="18" t="n">
        <x:v>35000</x:v>
      </x:c>
      <x:c r="I80" s="18" t="n">
        <x:v>546</x:v>
      </x:c>
      <x:c r="J80" s="18" t="n">
        <x:v>546</x:v>
      </x:c>
      <x:c r="K80" s="20" t="n">
        <x:v>0</x:v>
      </x:c>
      <x:c r="L80" s="19" t="n">
        <x:v>1</x:v>
      </x:c>
      <x:c r="M80" s="18" t="n">
        <x:v>546</x:v>
      </x:c>
      <x:c r="N80" s="18" t="n">
        <x:v>546</x:v>
      </x:c>
      <x:c r="O80" s="21" t="n">
        <x:v>1</x:v>
      </x:c>
      <x:c r="P80" s="20" t="n">
        <x:v>0.2</x:v>
      </x:c>
      <x:c r="Q80" s="20" t="n">
        <x:v>0</x:v>
      </x:c>
      <x:c r="R80" s="20" t="n">
        <x:v>1</x:v>
      </x:c>
      <x:c r="S80" s="20" t="n">
        <x:v>1</x:v>
      </x:c>
      <x:c r="T80" s="20" t="n">
        <x:v>0</x:v>
      </x:c>
      <x:c r="U80" s="20" t="n">
        <x:v>0.4</x:v>
      </x:c>
      <x:c r="V80" s="17" t="n">
        <x:v>2</x:v>
      </x:c>
    </x:row>
    <x:row r="81" ht="20" customHeight="1">
      <x:c r="A81" s="17" t="str">
        <x:v>P0042</x:v>
      </x:c>
      <x:c r="B81" s="17" t="str">
        <x:v>Q03</x:v>
      </x:c>
      <x:c r="C81" s="17" t="str">
        <x:v>L14</x:v>
      </x:c>
      <x:c r="D81" s="21" t="n">
        <x:v>1</x:v>
      </x:c>
      <x:c r="E81" s="21" t="n">
        <x:v>4</x:v>
      </x:c>
      <x:c r="F81" s="17" t="str">
        <x:v>完整单产品班次</x:v>
      </x:c>
      <x:c r="G81" s="18" t="n">
        <x:v>16992</x:v>
      </x:c>
      <x:c r="H81" s="18" t="n">
        <x:v>28000</x:v>
      </x:c>
      <x:c r="I81" s="18" t="n">
        <x:v>16992</x:v>
      </x:c>
      <x:c r="J81" s="18" t="n">
        <x:v>16992</x:v>
      </x:c>
      <x:c r="K81" s="20" t="n">
        <x:v>0</x:v>
      </x:c>
      <x:c r="L81" s="19" t="n">
        <x:v>1</x:v>
      </x:c>
      <x:c r="M81" s="18" t="n">
        <x:v>16992</x:v>
      </x:c>
      <x:c r="N81" s="18" t="n">
        <x:v>16992</x:v>
      </x:c>
      <x:c r="O81" s="21" t="n">
        <x:v>4</x:v>
      </x:c>
      <x:c r="P81" s="20" t="n">
        <x:v>0.8</x:v>
      </x:c>
      <x:c r="Q81" s="20" t="n">
        <x:v>1</x:v>
      </x:c>
      <x:c r="R81" s="20" t="n">
        <x:v>1</x:v>
      </x:c>
      <x:c r="S81" s="20" t="n">
        <x:v>1</x:v>
      </x:c>
      <x:c r="T81" s="20" t="n">
        <x:v>1</x:v>
      </x:c>
      <x:c r="U81" s="20" t="n">
        <x:v>1</x:v>
      </x:c>
      <x:c r="V81" s="17" t="n">
        <x:v>1</x:v>
      </x:c>
    </x:row>
    <x:row r="82" ht="20" customHeight="1">
      <x:c r="A82" s="17" t="str">
        <x:v>P0043</x:v>
      </x:c>
      <x:c r="B82" s="17" t="str">
        <x:v>Q03</x:v>
      </x:c>
      <x:c r="C82" s="17" t="str">
        <x:v>L11</x:v>
      </x:c>
      <x:c r="D82" s="21" t="n">
        <x:v>113</x:v>
      </x:c>
      <x:c r="E82" s="21" t="n">
        <x:v>114</x:v>
      </x:c>
      <x:c r="F82" s="17" t="str">
        <x:v>完整单产品班次</x:v>
      </x:c>
      <x:c r="G82" s="18" t="n">
        <x:v>35000</x:v>
      </x:c>
      <x:c r="H82" s="18" t="n">
        <x:v>35000</x:v>
      </x:c>
      <x:c r="I82" s="18" t="n">
        <x:v>35000</x:v>
      </x:c>
      <x:c r="J82" s="18" t="n">
        <x:v>35000</x:v>
      </x:c>
      <x:c r="K82" s="20" t="n">
        <x:v>0</x:v>
      </x:c>
      <x:c r="L82" s="19" t="n">
        <x:v>1</x:v>
      </x:c>
      <x:c r="M82" s="18" t="n">
        <x:v>35000</x:v>
      </x:c>
      <x:c r="N82" s="18" t="n">
        <x:v>35000</x:v>
      </x:c>
      <x:c r="O82" s="21" t="n">
        <x:v>114</x:v>
      </x:c>
      <x:c r="P82" s="20" t="n">
        <x:v>1</x:v>
      </x:c>
      <x:c r="Q82" s="20" t="n">
        <x:v>1</x:v>
      </x:c>
      <x:c r="R82" s="20" t="n">
        <x:v>1</x:v>
      </x:c>
      <x:c r="S82" s="20" t="n">
        <x:v>1</x:v>
      </x:c>
      <x:c r="T82" s="20" t="n">
        <x:v>1</x:v>
      </x:c>
      <x:c r="U82" s="20" t="n">
        <x:v>1</x:v>
      </x:c>
      <x:c r="V82" s="17" t="n">
        <x:v>1</x:v>
      </x:c>
    </x:row>
    <x:row r="83" ht="20" customHeight="1">
      <x:c r="A83" s="17" t="str">
        <x:v>P0043</x:v>
      </x:c>
      <x:c r="B83" s="17" t="str">
        <x:v>Q04</x:v>
      </x:c>
      <x:c r="C83" s="17" t="str">
        <x:v>L11</x:v>
      </x:c>
      <x:c r="D83" s="21" t="n">
        <x:v>6</x:v>
      </x:c>
      <x:c r="E83" s="21" t="n">
        <x:v>6</x:v>
      </x:c>
      <x:c r="F83" s="17" t="str">
        <x:v>完整单产品班次</x:v>
      </x:c>
      <x:c r="G83" s="18" t="n">
        <x:v>35000</x:v>
      </x:c>
      <x:c r="H83" s="18" t="n">
        <x:v>35000</x:v>
      </x:c>
      <x:c r="I83" s="18" t="n">
        <x:v>35000</x:v>
      </x:c>
      <x:c r="J83" s="18" t="n">
        <x:v>35000</x:v>
      </x:c>
      <x:c r="K83" s="20" t="n">
        <x:v>0</x:v>
      </x:c>
      <x:c r="L83" s="19" t="n">
        <x:v>1</x:v>
      </x:c>
      <x:c r="M83" s="18" t="n">
        <x:v>35000</x:v>
      </x:c>
      <x:c r="N83" s="18" t="n">
        <x:v>35000</x:v>
      </x:c>
      <x:c r="O83" s="21" t="n">
        <x:v>6</x:v>
      </x:c>
      <x:c r="P83" s="20" t="n">
        <x:v>1</x:v>
      </x:c>
      <x:c r="Q83" s="20" t="n">
        <x:v>1</x:v>
      </x:c>
      <x:c r="R83" s="20" t="n">
        <x:v>1</x:v>
      </x:c>
      <x:c r="S83" s="20" t="n">
        <x:v>1</x:v>
      </x:c>
      <x:c r="T83" s="20" t="n">
        <x:v>1</x:v>
      </x:c>
      <x:c r="U83" s="20" t="n">
        <x:v>1</x:v>
      </x:c>
      <x:c r="V83" s="17" t="n">
        <x:v>1</x:v>
      </x:c>
    </x:row>
    <x:row r="84" ht="20" customHeight="1">
      <x:c r="A84" s="17" t="str">
        <x:v>P0044</x:v>
      </x:c>
      <x:c r="B84" s="17" t="str">
        <x:v>Q11</x:v>
      </x:c>
      <x:c r="C84" s="17" t="str">
        <x:v>L05</x:v>
      </x:c>
      <x:c r="D84" s="21" t="n">
        <x:v>1</x:v>
      </x:c>
      <x:c r="E84" s="21" t="n">
        <x:v>2</x:v>
      </x:c>
      <x:c r="F84" s="17" t="str">
        <x:v>完整单产品班次</x:v>
      </x:c>
      <x:c r="G84" s="18" t="n">
        <x:v>2676</x:v>
      </x:c>
      <x:c r="H84" s="18" t="n">
        <x:v>6666</x:v>
      </x:c>
      <x:c r="I84" s="18" t="n">
        <x:v>2676</x:v>
      </x:c>
      <x:c r="J84" s="18" t="n">
        <x:v>2676</x:v>
      </x:c>
      <x:c r="K84" s="20" t="n">
        <x:v>0</x:v>
      </x:c>
      <x:c r="L84" s="19" t="n">
        <x:v>1</x:v>
      </x:c>
      <x:c r="M84" s="18" t="n">
        <x:v>2676</x:v>
      </x:c>
      <x:c r="N84" s="18" t="n">
        <x:v>2676</x:v>
      </x:c>
      <x:c r="O84" s="21" t="n">
        <x:v>2</x:v>
      </x:c>
      <x:c r="P84" s="20" t="n">
        <x:v>1</x:v>
      </x:c>
      <x:c r="Q84" s="20" t="n">
        <x:v>1</x:v>
      </x:c>
      <x:c r="R84" s="20" t="n">
        <x:v>1</x:v>
      </x:c>
      <x:c r="S84" s="20" t="n">
        <x:v>1</x:v>
      </x:c>
      <x:c r="T84" s="20" t="n">
        <x:v>1</x:v>
      </x:c>
      <x:c r="U84" s="20" t="n">
        <x:v>1</x:v>
      </x:c>
      <x:c r="V84" s="17" t="n">
        <x:v>1</x:v>
      </x:c>
    </x:row>
    <x:row r="85" ht="20" customHeight="1">
      <x:c r="A85" s="17" t="str">
        <x:v>P0045</x:v>
      </x:c>
      <x:c r="B85" s="17" t="str">
        <x:v>Q03</x:v>
      </x:c>
      <x:c r="C85" s="17" t="str">
        <x:v>L05</x:v>
      </x:c>
      <x:c r="D85" s="21" t="n">
        <x:v>7</x:v>
      </x:c>
      <x:c r="E85" s="21" t="n">
        <x:v>10</x:v>
      </x:c>
      <x:c r="F85" s="17" t="str">
        <x:v>完整单产品班次</x:v>
      </x:c>
      <x:c r="G85" s="18" t="n">
        <x:v>4000</x:v>
      </x:c>
      <x:c r="H85" s="18" t="n">
        <x:v>4000</x:v>
      </x:c>
      <x:c r="I85" s="18" t="n">
        <x:v>4000</x:v>
      </x:c>
      <x:c r="J85" s="18" t="n">
        <x:v>4000</x:v>
      </x:c>
      <x:c r="K85" s="20" t="n">
        <x:v>0</x:v>
      </x:c>
      <x:c r="L85" s="19" t="n">
        <x:v>1</x:v>
      </x:c>
      <x:c r="M85" s="18" t="n">
        <x:v>4000</x:v>
      </x:c>
      <x:c r="N85" s="18" t="n">
        <x:v>4000</x:v>
      </x:c>
      <x:c r="O85" s="21" t="n">
        <x:v>10</x:v>
      </x:c>
      <x:c r="P85" s="20" t="n">
        <x:v>1</x:v>
      </x:c>
      <x:c r="Q85" s="20" t="n">
        <x:v>1</x:v>
      </x:c>
      <x:c r="R85" s="20" t="n">
        <x:v>1</x:v>
      </x:c>
      <x:c r="S85" s="20" t="n">
        <x:v>1</x:v>
      </x:c>
      <x:c r="T85" s="20" t="n">
        <x:v>1</x:v>
      </x:c>
      <x:c r="U85" s="20" t="n">
        <x:v>1</x:v>
      </x:c>
      <x:c r="V85" s="17" t="n">
        <x:v>1</x:v>
      </x:c>
    </x:row>
    <x:row r="86" ht="20" customHeight="1">
      <x:c r="A86" s="17" t="str">
        <x:v>P0046</x:v>
      </x:c>
      <x:c r="B86" s="17" t="str">
        <x:v>Q03</x:v>
      </x:c>
      <x:c r="C86" s="17" t="str">
        <x:v>L05</x:v>
      </x:c>
      <x:c r="D86" s="21" t="n">
        <x:v>14</x:v>
      </x:c>
      <x:c r="E86" s="21" t="n">
        <x:v>15</x:v>
      </x:c>
      <x:c r="F86" s="17" t="str">
        <x:v>完整单产品班次</x:v>
      </x:c>
      <x:c r="G86" s="18" t="n">
        <x:v>3070</x:v>
      </x:c>
      <x:c r="H86" s="18" t="n">
        <x:v>4000</x:v>
      </x:c>
      <x:c r="I86" s="18" t="n">
        <x:v>3200</x:v>
      </x:c>
      <x:c r="J86" s="18" t="n">
        <x:v>3200</x:v>
      </x:c>
      <x:c r="K86" s="20" t="n">
        <x:v>0</x:v>
      </x:c>
      <x:c r="L86" s="19" t="n">
        <x:v>0.9419642857142857</x:v>
      </x:c>
      <x:c r="M86" s="18" t="n">
        <x:v>3000</x:v>
      </x:c>
      <x:c r="N86" s="18" t="n">
        <x:v>3200</x:v>
      </x:c>
      <x:c r="O86" s="21" t="n">
        <x:v>15</x:v>
      </x:c>
      <x:c r="P86" s="20" t="n">
        <x:v>1</x:v>
      </x:c>
      <x:c r="Q86" s="20" t="n">
        <x:v>1</x:v>
      </x:c>
      <x:c r="R86" s="20" t="n">
        <x:v>1</x:v>
      </x:c>
      <x:c r="S86" s="20" t="n">
        <x:v>1</x:v>
      </x:c>
      <x:c r="T86" s="20" t="n">
        <x:v>1</x:v>
      </x:c>
      <x:c r="U86" s="20" t="n">
        <x:v>1</x:v>
      </x:c>
      <x:c r="V86" s="17" t="n">
        <x:v>1</x:v>
      </x:c>
    </x:row>
    <x:row r="87" ht="20" customHeight="1">
      <x:c r="A87" s="17" t="str">
        <x:v>P0047</x:v>
      </x:c>
      <x:c r="B87" s="17" t="str">
        <x:v>Q11</x:v>
      </x:c>
      <x:c r="C87" s="17" t="str">
        <x:v>L13</x:v>
      </x:c>
      <x:c r="D87" s="21" t="n">
        <x:v>2</x:v>
      </x:c>
      <x:c r="E87" s="21" t="n">
        <x:v>3</x:v>
      </x:c>
      <x:c r="F87" s="17" t="str">
        <x:v>完整单产品班次</x:v>
      </x:c>
      <x:c r="G87" s="18" t="n">
        <x:v>1264.3</x:v>
      </x:c>
      <x:c r="H87" s="18" t="n">
        <x:v>16672.799999999996</x:v>
      </x:c>
      <x:c r="I87" s="18" t="n">
        <x:v>1327</x:v>
      </x:c>
      <x:c r="J87" s="18" t="n">
        <x:v>1327</x:v>
      </x:c>
      <x:c r="K87" s="20" t="n">
        <x:v>1.3279859999999999</x:v>
      </x:c>
      <x:c r="L87" s="19" t="n">
        <x:v>0.5275056518462697</x:v>
      </x:c>
      <x:c r="M87" s="18" t="n">
        <x:v>73</x:v>
      </x:c>
      <x:c r="N87" s="18" t="n">
        <x:v>1327</x:v>
      </x:c>
      <x:c r="O87" s="21" t="n">
        <x:v>3</x:v>
      </x:c>
      <x:c r="P87" s="20" t="n">
        <x:v>1</x:v>
      </x:c>
      <x:c r="Q87" s="20" t="n">
        <x:v>1</x:v>
      </x:c>
      <x:c r="R87" s="20" t="n">
        <x:v>1</x:v>
      </x:c>
      <x:c r="S87" s="20" t="n">
        <x:v>1</x:v>
      </x:c>
      <x:c r="T87" s="20" t="n">
        <x:v>1</x:v>
      </x:c>
      <x:c r="U87" s="20" t="n">
        <x:v>1</x:v>
      </x:c>
      <x:c r="V87" s="17" t="n">
        <x:v>1</x:v>
      </x:c>
    </x:row>
    <x:row r="88" ht="20" customHeight="1">
      <x:c r="A88" s="17" t="str">
        <x:v>P0048</x:v>
      </x:c>
      <x:c r="B88" s="17" t="str">
        <x:v>Q11</x:v>
      </x:c>
      <x:c r="C88" s="17" t="str">
        <x:v>L13</x:v>
      </x:c>
      <x:c r="D88" s="21" t="n">
        <x:v>3</x:v>
      </x:c>
      <x:c r="E88" s="21" t="n">
        <x:v>3</x:v>
      </x:c>
      <x:c r="F88" s="17" t="str">
        <x:v>冲突或缺班次回退</x:v>
      </x:c>
      <x:c r="G88" s="18" t="n">
        <x:v>1327.9</x:v>
      </x:c>
      <x:c r="H88" s="18" t="n">
        <x:v>16672.799999999996</x:v>
      </x:c>
      <x:c r="I88" s="18" t="n">
        <x:v>1328</x:v>
      </x:c>
      <x:c r="J88" s="18" t="n">
        <x:v>1328</x:v>
      </x:c>
      <x:c r="K88" s="20" t="n">
        <x:v>0.0011172569706103994</x:v>
      </x:c>
      <x:c r="L88" s="19" t="n">
        <x:v>0.6847389558232932</x:v>
      </x:c>
      <x:c r="M88" s="18" t="n">
        <x:v>73</x:v>
      </x:c>
      <x:c r="N88" s="18" t="n">
        <x:v>1328</x:v>
      </x:c>
      <x:c r="O88" s="21" t="n">
        <x:v>3</x:v>
      </x:c>
      <x:c r="P88" s="20" t="n">
        <x:v>1</x:v>
      </x:c>
      <x:c r="Q88" s="20" t="n">
        <x:v>1</x:v>
      </x:c>
      <x:c r="R88" s="20" t="n">
        <x:v>1</x:v>
      </x:c>
      <x:c r="S88" s="20" t="n">
        <x:v>1</x:v>
      </x:c>
      <x:c r="T88" s="20" t="n">
        <x:v>1</x:v>
      </x:c>
      <x:c r="U88" s="20" t="n">
        <x:v>1</x:v>
      </x:c>
      <x:c r="V88" s="17" t="n">
        <x:v>1</x:v>
      </x:c>
    </x:row>
    <x:row r="89" ht="20" customHeight="1">
      <x:c r="A89" s="17" t="str">
        <x:v>P0049</x:v>
      </x:c>
      <x:c r="B89" s="17" t="str">
        <x:v>Q11</x:v>
      </x:c>
      <x:c r="C89" s="17" t="str">
        <x:v>L13</x:v>
      </x:c>
      <x:c r="D89" s="21" t="n">
        <x:v>3</x:v>
      </x:c>
      <x:c r="E89" s="21" t="n">
        <x:v>3</x:v>
      </x:c>
      <x:c r="F89" s="17" t="str">
        <x:v>冲突或缺班次回退</x:v>
      </x:c>
      <x:c r="G89" s="18" t="n">
        <x:v>1327.9</x:v>
      </x:c>
      <x:c r="H89" s="18" t="n">
        <x:v>16672.799999999996</x:v>
      </x:c>
      <x:c r="I89" s="18" t="n">
        <x:v>1328</x:v>
      </x:c>
      <x:c r="J89" s="18" t="n">
        <x:v>1328</x:v>
      </x:c>
      <x:c r="K89" s="20" t="n">
        <x:v>0.0011172569706103994</x:v>
      </x:c>
      <x:c r="L89" s="19" t="n">
        <x:v>0.6847389558232932</x:v>
      </x:c>
      <x:c r="M89" s="18" t="n">
        <x:v>73</x:v>
      </x:c>
      <x:c r="N89" s="18" t="n">
        <x:v>1328</x:v>
      </x:c>
      <x:c r="O89" s="21" t="n">
        <x:v>3</x:v>
      </x:c>
      <x:c r="P89" s="20" t="n">
        <x:v>1</x:v>
      </x:c>
      <x:c r="Q89" s="20" t="n">
        <x:v>1</x:v>
      </x:c>
      <x:c r="R89" s="20" t="n">
        <x:v>1</x:v>
      </x:c>
      <x:c r="S89" s="20" t="n">
        <x:v>1</x:v>
      </x:c>
      <x:c r="T89" s="20" t="n">
        <x:v>1</x:v>
      </x:c>
      <x:c r="U89" s="20" t="n">
        <x:v>1</x:v>
      </x:c>
      <x:c r="V89" s="17" t="n">
        <x:v>1</x:v>
      </x:c>
    </x:row>
    <x:row r="90" ht="20" customHeight="1">
      <x:c r="A90" s="17" t="str">
        <x:v>P0050</x:v>
      </x:c>
      <x:c r="B90" s="17" t="str">
        <x:v>Q11</x:v>
      </x:c>
      <x:c r="C90" s="17" t="str">
        <x:v>L13</x:v>
      </x:c>
      <x:c r="D90" s="21" t="n">
        <x:v>3</x:v>
      </x:c>
      <x:c r="E90" s="21" t="n">
        <x:v>3</x:v>
      </x:c>
      <x:c r="F90" s="17" t="str">
        <x:v>冲突或缺班次回退</x:v>
      </x:c>
      <x:c r="G90" s="18" t="n">
        <x:v>1327.9</x:v>
      </x:c>
      <x:c r="H90" s="18" t="n">
        <x:v>16672.799999999996</x:v>
      </x:c>
      <x:c r="I90" s="18" t="n">
        <x:v>1328</x:v>
      </x:c>
      <x:c r="J90" s="18" t="n">
        <x:v>1328</x:v>
      </x:c>
      <x:c r="K90" s="20" t="n">
        <x:v>0.0011172569706103994</x:v>
      </x:c>
      <x:c r="L90" s="19" t="n">
        <x:v>0.6847389558232932</x:v>
      </x:c>
      <x:c r="M90" s="18" t="n">
        <x:v>73</x:v>
      </x:c>
      <x:c r="N90" s="18" t="n">
        <x:v>1328</x:v>
      </x:c>
      <x:c r="O90" s="21" t="n">
        <x:v>3</x:v>
      </x:c>
      <x:c r="P90" s="20" t="n">
        <x:v>1</x:v>
      </x:c>
      <x:c r="Q90" s="20" t="n">
        <x:v>1</x:v>
      </x:c>
      <x:c r="R90" s="20" t="n">
        <x:v>1</x:v>
      </x:c>
      <x:c r="S90" s="20" t="n">
        <x:v>1</x:v>
      </x:c>
      <x:c r="T90" s="20" t="n">
        <x:v>1</x:v>
      </x:c>
      <x:c r="U90" s="20" t="n">
        <x:v>1</x:v>
      </x:c>
      <x:c r="V90" s="17" t="n">
        <x:v>1</x:v>
      </x:c>
    </x:row>
    <x:row r="91" ht="20" customHeight="1">
      <x:c r="A91" s="17" t="str">
        <x:v>P0051</x:v>
      </x:c>
      <x:c r="B91" s="17" t="str">
        <x:v>Q11</x:v>
      </x:c>
      <x:c r="C91" s="17" t="str">
        <x:v>L13</x:v>
      </x:c>
      <x:c r="D91" s="21" t="n">
        <x:v>3</x:v>
      </x:c>
      <x:c r="E91" s="21" t="n">
        <x:v>3</x:v>
      </x:c>
      <x:c r="F91" s="17" t="str">
        <x:v>冲突或缺班次回退</x:v>
      </x:c>
      <x:c r="G91" s="18" t="n">
        <x:v>1327.9</x:v>
      </x:c>
      <x:c r="H91" s="18" t="n">
        <x:v>16672.799999999996</x:v>
      </x:c>
      <x:c r="I91" s="18" t="n">
        <x:v>1328</x:v>
      </x:c>
      <x:c r="J91" s="18" t="n">
        <x:v>1328</x:v>
      </x:c>
      <x:c r="K91" s="20" t="n">
        <x:v>0.0011172569706103994</x:v>
      </x:c>
      <x:c r="L91" s="19" t="n">
        <x:v>0.6847389558232932</x:v>
      </x:c>
      <x:c r="M91" s="18" t="n">
        <x:v>73</x:v>
      </x:c>
      <x:c r="N91" s="18" t="n">
        <x:v>1328</x:v>
      </x:c>
      <x:c r="O91" s="21" t="n">
        <x:v>3</x:v>
      </x:c>
      <x:c r="P91" s="20" t="n">
        <x:v>1</x:v>
      </x:c>
      <x:c r="Q91" s="20" t="n">
        <x:v>1</x:v>
      </x:c>
      <x:c r="R91" s="20" t="n">
        <x:v>1</x:v>
      </x:c>
      <x:c r="S91" s="20" t="n">
        <x:v>1</x:v>
      </x:c>
      <x:c r="T91" s="20" t="n">
        <x:v>1</x:v>
      </x:c>
      <x:c r="U91" s="20" t="n">
        <x:v>1</x:v>
      </x:c>
      <x:c r="V91" s="17" t="n">
        <x:v>1</x:v>
      </x:c>
    </x:row>
    <x:row r="92" ht="20" customHeight="1">
      <x:c r="A92" s="17" t="str">
        <x:v>P0052</x:v>
      </x:c>
      <x:c r="B92" s="17" t="str">
        <x:v>Q11</x:v>
      </x:c>
      <x:c r="C92" s="17" t="str">
        <x:v>L13</x:v>
      </x:c>
      <x:c r="D92" s="21" t="n">
        <x:v>3</x:v>
      </x:c>
      <x:c r="E92" s="21" t="n">
        <x:v>3</x:v>
      </x:c>
      <x:c r="F92" s="17" t="str">
        <x:v>冲突或缺班次回退</x:v>
      </x:c>
      <x:c r="G92" s="18" t="n">
        <x:v>1327.9</x:v>
      </x:c>
      <x:c r="H92" s="18" t="n">
        <x:v>16672.799999999996</x:v>
      </x:c>
      <x:c r="I92" s="18" t="n">
        <x:v>1328</x:v>
      </x:c>
      <x:c r="J92" s="18" t="n">
        <x:v>1328</x:v>
      </x:c>
      <x:c r="K92" s="20" t="n">
        <x:v>0.0011172569706103994</x:v>
      </x:c>
      <x:c r="L92" s="19" t="n">
        <x:v>0.6847389558232932</x:v>
      </x:c>
      <x:c r="M92" s="18" t="n">
        <x:v>73</x:v>
      </x:c>
      <x:c r="N92" s="18" t="n">
        <x:v>1328</x:v>
      </x:c>
      <x:c r="O92" s="21" t="n">
        <x:v>3</x:v>
      </x:c>
      <x:c r="P92" s="20" t="n">
        <x:v>1</x:v>
      </x:c>
      <x:c r="Q92" s="20" t="n">
        <x:v>1</x:v>
      </x:c>
      <x:c r="R92" s="20" t="n">
        <x:v>1</x:v>
      </x:c>
      <x:c r="S92" s="20" t="n">
        <x:v>1</x:v>
      </x:c>
      <x:c r="T92" s="20" t="n">
        <x:v>1</x:v>
      </x:c>
      <x:c r="U92" s="20" t="n">
        <x:v>1</x:v>
      </x:c>
      <x:c r="V92" s="17" t="n">
        <x:v>1</x:v>
      </x:c>
    </x:row>
    <x:row r="93" ht="20" customHeight="1">
      <x:c r="A93" s="17" t="str">
        <x:v>P0053</x:v>
      </x:c>
      <x:c r="B93" s="17" t="str">
        <x:v>Q11</x:v>
      </x:c>
      <x:c r="C93" s="17" t="str">
        <x:v>L13</x:v>
      </x:c>
      <x:c r="D93" s="21" t="n">
        <x:v>3</x:v>
      </x:c>
      <x:c r="E93" s="21" t="n">
        <x:v>3</x:v>
      </x:c>
      <x:c r="F93" s="17" t="str">
        <x:v>冲突或缺班次回退</x:v>
      </x:c>
      <x:c r="G93" s="18" t="n">
        <x:v>1327.9</x:v>
      </x:c>
      <x:c r="H93" s="18" t="n">
        <x:v>16672.799999999996</x:v>
      </x:c>
      <x:c r="I93" s="18" t="n">
        <x:v>1328</x:v>
      </x:c>
      <x:c r="J93" s="18" t="n">
        <x:v>1328</x:v>
      </x:c>
      <x:c r="K93" s="20" t="n">
        <x:v>0.0011172569706103994</x:v>
      </x:c>
      <x:c r="L93" s="19" t="n">
        <x:v>0.6847389558232932</x:v>
      </x:c>
      <x:c r="M93" s="18" t="n">
        <x:v>73</x:v>
      </x:c>
      <x:c r="N93" s="18" t="n">
        <x:v>1328</x:v>
      </x:c>
      <x:c r="O93" s="21" t="n">
        <x:v>3</x:v>
      </x:c>
      <x:c r="P93" s="20" t="n">
        <x:v>1</x:v>
      </x:c>
      <x:c r="Q93" s="20" t="n">
        <x:v>1</x:v>
      </x:c>
      <x:c r="R93" s="20" t="n">
        <x:v>1</x:v>
      </x:c>
      <x:c r="S93" s="20" t="n">
        <x:v>1</x:v>
      </x:c>
      <x:c r="T93" s="20" t="n">
        <x:v>1</x:v>
      </x:c>
      <x:c r="U93" s="20" t="n">
        <x:v>1</x:v>
      </x:c>
      <x:c r="V93" s="17" t="n">
        <x:v>1</x:v>
      </x:c>
    </x:row>
    <x:row r="94" ht="20" customHeight="1">
      <x:c r="A94" s="17" t="str">
        <x:v>P0054</x:v>
      </x:c>
      <x:c r="B94" s="17" t="str">
        <x:v>Q11</x:v>
      </x:c>
      <x:c r="C94" s="17" t="str">
        <x:v>L13</x:v>
      </x:c>
      <x:c r="D94" s="21" t="n">
        <x:v>3</x:v>
      </x:c>
      <x:c r="E94" s="21" t="n">
        <x:v>3</x:v>
      </x:c>
      <x:c r="F94" s="17" t="str">
        <x:v>冲突或缺班次回退</x:v>
      </x:c>
      <x:c r="G94" s="18" t="n">
        <x:v>1327.9</x:v>
      </x:c>
      <x:c r="H94" s="18" t="n">
        <x:v>16672.799999999996</x:v>
      </x:c>
      <x:c r="I94" s="18" t="n">
        <x:v>1328</x:v>
      </x:c>
      <x:c r="J94" s="18" t="n">
        <x:v>1328</x:v>
      </x:c>
      <x:c r="K94" s="20" t="n">
        <x:v>0.0011172569706103994</x:v>
      </x:c>
      <x:c r="L94" s="19" t="n">
        <x:v>0.6847389558232932</x:v>
      </x:c>
      <x:c r="M94" s="18" t="n">
        <x:v>73</x:v>
      </x:c>
      <x:c r="N94" s="18" t="n">
        <x:v>1328</x:v>
      </x:c>
      <x:c r="O94" s="21" t="n">
        <x:v>3</x:v>
      </x:c>
      <x:c r="P94" s="20" t="n">
        <x:v>1</x:v>
      </x:c>
      <x:c r="Q94" s="20" t="n">
        <x:v>1</x:v>
      </x:c>
      <x:c r="R94" s="20" t="n">
        <x:v>1</x:v>
      </x:c>
      <x:c r="S94" s="20" t="n">
        <x:v>1</x:v>
      </x:c>
      <x:c r="T94" s="20" t="n">
        <x:v>1</x:v>
      </x:c>
      <x:c r="U94" s="20" t="n">
        <x:v>1</x:v>
      </x:c>
      <x:c r="V94" s="17" t="n">
        <x:v>1</x:v>
      </x:c>
    </x:row>
    <x:row r="95" ht="20" customHeight="1">
      <x:c r="A95" s="17" t="str">
        <x:v>P0055</x:v>
      </x:c>
      <x:c r="B95" s="17" t="str">
        <x:v>Q11</x:v>
      </x:c>
      <x:c r="C95" s="17" t="str">
        <x:v>L13</x:v>
      </x:c>
      <x:c r="D95" s="21" t="n">
        <x:v>3</x:v>
      </x:c>
      <x:c r="E95" s="21" t="n">
        <x:v>3</x:v>
      </x:c>
      <x:c r="F95" s="17" t="str">
        <x:v>冲突或缺班次回退</x:v>
      </x:c>
      <x:c r="G95" s="18" t="n">
        <x:v>1327.9</x:v>
      </x:c>
      <x:c r="H95" s="18" t="n">
        <x:v>16672.799999999996</x:v>
      </x:c>
      <x:c r="I95" s="18" t="n">
        <x:v>1328</x:v>
      </x:c>
      <x:c r="J95" s="18" t="n">
        <x:v>1328</x:v>
      </x:c>
      <x:c r="K95" s="20" t="n">
        <x:v>0.0011172569706103994</x:v>
      </x:c>
      <x:c r="L95" s="19" t="n">
        <x:v>0.6847389558232932</x:v>
      </x:c>
      <x:c r="M95" s="18" t="n">
        <x:v>1201.6</x:v>
      </x:c>
      <x:c r="N95" s="18" t="n">
        <x:v>1328</x:v>
      </x:c>
      <x:c r="O95" s="21" t="n">
        <x:v>3</x:v>
      </x:c>
      <x:c r="P95" s="20" t="n">
        <x:v>1</x:v>
      </x:c>
      <x:c r="Q95" s="20" t="n">
        <x:v>1</x:v>
      </x:c>
      <x:c r="R95" s="20" t="n">
        <x:v>1</x:v>
      </x:c>
      <x:c r="S95" s="20" t="n">
        <x:v>1</x:v>
      </x:c>
      <x:c r="T95" s="20" t="n">
        <x:v>1</x:v>
      </x:c>
      <x:c r="U95" s="20" t="n">
        <x:v>1</x:v>
      </x:c>
      <x:c r="V95" s="17" t="n">
        <x:v>1</x:v>
      </x:c>
    </x:row>
    <x:row r="96" ht="20" customHeight="1">
      <x:c r="A96" s="17" t="str">
        <x:v>P0056</x:v>
      </x:c>
      <x:c r="B96" s="17" t="str">
        <x:v>Q02</x:v>
      </x:c>
      <x:c r="C96" s="17" t="str">
        <x:v>L09</x:v>
      </x:c>
      <x:c r="D96" s="21" t="n">
        <x:v>2</x:v>
      </x:c>
      <x:c r="E96" s="21" t="n">
        <x:v>3</x:v>
      </x:c>
      <x:c r="F96" s="17" t="str">
        <x:v>完整单产品班次</x:v>
      </x:c>
      <x:c r="G96" s="18" t="n">
        <x:v>10350</x:v>
      </x:c>
      <x:c r="H96" s="18" t="n">
        <x:v>10350</x:v>
      </x:c>
      <x:c r="I96" s="18" t="n">
        <x:v>10350</x:v>
      </x:c>
      <x:c r="J96" s="18" t="n">
        <x:v>10350</x:v>
      </x:c>
      <x:c r="K96" s="20" t="n">
        <x:v>0</x:v>
      </x:c>
      <x:c r="L96" s="19" t="n">
        <x:v>1</x:v>
      </x:c>
      <x:c r="M96" s="18" t="n">
        <x:v>10350</x:v>
      </x:c>
      <x:c r="N96" s="18" t="n">
        <x:v>10350</x:v>
      </x:c>
      <x:c r="O96" s="21" t="n">
        <x:v>3</x:v>
      </x:c>
      <x:c r="P96" s="20" t="n">
        <x:v>1</x:v>
      </x:c>
      <x:c r="Q96" s="20" t="n">
        <x:v>1</x:v>
      </x:c>
      <x:c r="R96" s="20" t="n">
        <x:v>1</x:v>
      </x:c>
      <x:c r="S96" s="20" t="n">
        <x:v>1</x:v>
      </x:c>
      <x:c r="T96" s="20" t="n">
        <x:v>1</x:v>
      </x:c>
      <x:c r="U96" s="20" t="n">
        <x:v>1</x:v>
      </x:c>
      <x:c r="V96" s="17" t="n">
        <x:v>1</x:v>
      </x:c>
    </x:row>
    <x:row r="97" ht="20" customHeight="1">
      <x:c r="A97" s="17" t="str">
        <x:v>P0057</x:v>
      </x:c>
      <x:c r="B97" s="17" t="str">
        <x:v>Q05</x:v>
      </x:c>
      <x:c r="C97" s="17" t="str">
        <x:v>L06</x:v>
      </x:c>
      <x:c r="D97" s="21" t="n">
        <x:v>7</x:v>
      </x:c>
      <x:c r="E97" s="21" t="n">
        <x:v>30</x:v>
      </x:c>
      <x:c r="F97" s="17" t="str">
        <x:v>完整单产品班次</x:v>
      </x:c>
      <x:c r="G97" s="18" t="n">
        <x:v>8990.999999999993</x:v>
      </x:c>
      <x:c r="H97" s="18" t="n">
        <x:v>7492.499999999989</x:v>
      </x:c>
      <x:c r="I97" s="18" t="n">
        <x:v>11988</x:v>
      </x:c>
      <x:c r="J97" s="18" t="n">
        <x:v>8366</x:v>
      </x:c>
      <x:c r="K97" s="20" t="n">
        <x:v>0</x:v>
      </x:c>
      <x:c r="L97" s="19" t="n">
        <x:v>0.3411768723745774</x:v>
      </x:c>
      <x:c r="M97" s="18" t="n">
        <x:v>1698.2999999999993</x:v>
      </x:c>
      <x:c r="N97" s="18" t="n">
        <x:v>11988</x:v>
      </x:c>
      <x:c r="O97" s="21" t="n">
        <x:v>30</x:v>
      </x:c>
      <x:c r="P97" s="20" t="n">
        <x:v>1</x:v>
      </x:c>
      <x:c r="Q97" s="20" t="n">
        <x:v>1</x:v>
      </x:c>
      <x:c r="R97" s="20" t="n">
        <x:v>1</x:v>
      </x:c>
      <x:c r="S97" s="20" t="n">
        <x:v>1</x:v>
      </x:c>
      <x:c r="T97" s="20" t="n">
        <x:v>1</x:v>
      </x:c>
      <x:c r="U97" s="20" t="n">
        <x:v>1</x:v>
      </x:c>
      <x:c r="V97" s="17" t="n">
        <x:v>1</x:v>
      </x:c>
    </x:row>
    <x:row r="98" ht="20" customHeight="1">
      <x:c r="A98" s="17" t="str">
        <x:v>P0058</x:v>
      </x:c>
      <x:c r="B98" s="17" t="str">
        <x:v>Q07</x:v>
      </x:c>
      <x:c r="C98" s="17" t="str">
        <x:v>L07</x:v>
      </x:c>
      <x:c r="D98" s="21" t="n">
        <x:v>4</x:v>
      </x:c>
      <x:c r="E98" s="21" t="n">
        <x:v>4</x:v>
      </x:c>
      <x:c r="F98" s="17" t="str">
        <x:v>冲突或缺班次回退</x:v>
      </x:c>
      <x:c r="G98" s="18" t="n">
        <x:v>213.89999999999995</x:v>
      </x:c>
      <x:c r="H98" s="18" t="n">
        <x:v>213.89999999999995</x:v>
      </x:c>
      <x:c r="I98" s="18" t="n">
        <x:v>231</x:v>
      </x:c>
      <x:c r="J98" s="18" t="n">
        <x:v>213</x:v>
      </x:c>
      <x:c r="K98" s="20" t="n">
        <x:v>0.9117593582887701</x:v>
      </x:c>
      <x:c r="L98" s="19" t="n">
        <x:v>0.49295774647887325</x:v>
      </x:c>
      <x:c r="M98" s="18" t="n">
        <x:v>70</x:v>
      </x:c>
      <x:c r="N98" s="18" t="n">
        <x:v>231</x:v>
      </x:c>
      <x:c r="O98" s="21" t="n">
        <x:v>4</x:v>
      </x:c>
      <x:c r="P98" s="20" t="n">
        <x:v>0.8</x:v>
      </x:c>
      <x:c r="Q98" s="20" t="n">
        <x:v>1</x:v>
      </x:c>
      <x:c r="R98" s="20" t="n">
        <x:v>0</x:v>
      </x:c>
      <x:c r="S98" s="20" t="n">
        <x:v>0</x:v>
      </x:c>
      <x:c r="T98" s="20" t="n">
        <x:v>1</x:v>
      </x:c>
      <x:c r="U98" s="20" t="n">
        <x:v>0.6000000000000001</x:v>
      </x:c>
      <x:c r="V98" s="17" t="n">
        <x:v>1</x:v>
      </x:c>
    </x:row>
    <x:row r="99" ht="20" customHeight="1">
      <x:c r="A99" s="17" t="str">
        <x:v>P0058</x:v>
      </x:c>
      <x:c r="B99" s="17" t="str">
        <x:v>Q07</x:v>
      </x:c>
      <x:c r="C99" s="17" t="str">
        <x:v>L14</x:v>
      </x:c>
      <x:c r="D99" s="21" t="n">
        <x:v>1</x:v>
      </x:c>
      <x:c r="E99" s="21" t="n">
        <x:v>1</x:v>
      </x:c>
      <x:c r="F99" s="17" t="str">
        <x:v>冲突或缺班次回退</x:v>
      </x:c>
      <x:c r="G99" s="18" t="n">
        <x:v>1</x:v>
      </x:c>
      <x:c r="H99" s="18" t="n">
        <x:v>1</x:v>
      </x:c>
      <x:c r="I99" s="18" t="n">
        <x:v>1</x:v>
      </x:c>
      <x:c r="J99" s="18" t="n">
        <x:v>1</x:v>
      </x:c>
      <x:c r="K99" s="20" t="n">
        <x:v>0</x:v>
      </x:c>
      <x:c r="L99" s="19" t="n">
        <x:v>1</x:v>
      </x:c>
      <x:c r="M99" s="18" t="n">
        <x:v>1</x:v>
      </x:c>
      <x:c r="N99" s="18" t="n">
        <x:v>1</x:v>
      </x:c>
      <x:c r="O99" s="21" t="n">
        <x:v>1</x:v>
      </x:c>
      <x:c r="P99" s="20" t="n">
        <x:v>0.2</x:v>
      </x:c>
      <x:c r="Q99" s="20" t="n">
        <x:v>0</x:v>
      </x:c>
      <x:c r="R99" s="20" t="n">
        <x:v>1</x:v>
      </x:c>
      <x:c r="S99" s="20" t="n">
        <x:v>1</x:v>
      </x:c>
      <x:c r="T99" s="20" t="n">
        <x:v>0</x:v>
      </x:c>
      <x:c r="U99" s="20" t="n">
        <x:v>0.4</x:v>
      </x:c>
      <x:c r="V99" s="17" t="n">
        <x:v>2</x:v>
      </x:c>
    </x:row>
    <x:row r="100" ht="20" customHeight="1">
      <x:c r="A100" s="17" t="str">
        <x:v>P0059</x:v>
      </x:c>
      <x:c r="B100" s="17" t="str">
        <x:v>Q08</x:v>
      </x:c>
      <x:c r="C100" s="17" t="str">
        <x:v>L13</x:v>
      </x:c>
      <x:c r="D100" s="21" t="n">
        <x:v>153</x:v>
      </x:c>
      <x:c r="E100" s="21" t="n">
        <x:v>164</x:v>
      </x:c>
      <x:c r="F100" s="17" t="str">
        <x:v>完整单产品班次</x:v>
      </x:c>
      <x:c r="G100" s="18" t="n">
        <x:v>13500</x:v>
      </x:c>
      <x:c r="H100" s="18" t="n">
        <x:v>13500</x:v>
      </x:c>
      <x:c r="I100" s="18" t="n">
        <x:v>13500</x:v>
      </x:c>
      <x:c r="J100" s="18" t="n">
        <x:v>13500</x:v>
      </x:c>
      <x:c r="K100" s="20" t="n">
        <x:v>0</x:v>
      </x:c>
      <x:c r="L100" s="19" t="n">
        <x:v>0.9656025175502299</x:v>
      </x:c>
      <x:c r="M100" s="18" t="n">
        <x:v>13045.2</x:v>
      </x:c>
      <x:c r="N100" s="18" t="n">
        <x:v>13500</x:v>
      </x:c>
      <x:c r="O100" s="21" t="n">
        <x:v>164</x:v>
      </x:c>
      <x:c r="P100" s="20" t="n">
        <x:v>0.9879518072289156</x:v>
      </x:c>
      <x:c r="Q100" s="20" t="n">
        <x:v>1</x:v>
      </x:c>
      <x:c r="R100" s="20" t="n">
        <x:v>1</x:v>
      </x:c>
      <x:c r="S100" s="20" t="n">
        <x:v>0</x:v>
      </x:c>
      <x:c r="T100" s="20" t="n">
        <x:v>1</x:v>
      </x:c>
      <x:c r="U100" s="20" t="n">
        <x:v>0.8</x:v>
      </x:c>
      <x:c r="V100" s="17" t="n">
        <x:v>1</x:v>
      </x:c>
    </x:row>
    <x:row r="101" ht="20" customHeight="1">
      <x:c r="A101" s="17" t="str">
        <x:v>P0059</x:v>
      </x:c>
      <x:c r="B101" s="17" t="str">
        <x:v>Q08</x:v>
      </x:c>
      <x:c r="C101" s="17" t="str">
        <x:v>L14</x:v>
      </x:c>
      <x:c r="D101" s="21" t="n">
        <x:v>2</x:v>
      </x:c>
      <x:c r="E101" s="21" t="n">
        <x:v>2</x:v>
      </x:c>
      <x:c r="F101" s="17" t="str">
        <x:v>完整单产品班次</x:v>
      </x:c>
      <x:c r="G101" s="18" t="n">
        <x:v>13000</x:v>
      </x:c>
      <x:c r="H101" s="18" t="n">
        <x:v>13000</x:v>
      </x:c>
      <x:c r="I101" s="18" t="n">
        <x:v>13000</x:v>
      </x:c>
      <x:c r="J101" s="18" t="n">
        <x:v>13000</x:v>
      </x:c>
      <x:c r="K101" s="20" t="n">
        <x:v>0</x:v>
      </x:c>
      <x:c r="L101" s="19" t="n">
        <x:v>1</x:v>
      </x:c>
      <x:c r="M101" s="18" t="n">
        <x:v>13000</x:v>
      </x:c>
      <x:c r="N101" s="18" t="n">
        <x:v>13000</x:v>
      </x:c>
      <x:c r="O101" s="21" t="n">
        <x:v>2</x:v>
      </x:c>
      <x:c r="P101" s="20" t="n">
        <x:v>0.012048192771084338</x:v>
      </x:c>
      <x:c r="Q101" s="20" t="n">
        <x:v>0</x:v>
      </x:c>
      <x:c r="R101" s="20" t="n">
        <x:v>1</x:v>
      </x:c>
      <x:c r="S101" s="20" t="n">
        <x:v>1</x:v>
      </x:c>
      <x:c r="T101" s="20" t="n">
        <x:v>0</x:v>
      </x:c>
      <x:c r="U101" s="20" t="n">
        <x:v>0.4</x:v>
      </x:c>
      <x:c r="V101" s="17" t="n">
        <x:v>2</x:v>
      </x:c>
    </x:row>
    <x:row r="102" ht="20" customHeight="1">
      <x:c r="A102" s="17" t="str">
        <x:v>P0060</x:v>
      </x:c>
      <x:c r="B102" s="17" t="str">
        <x:v>Q09</x:v>
      </x:c>
      <x:c r="C102" s="17" t="str">
        <x:v>L13</x:v>
      </x:c>
      <x:c r="D102" s="21" t="n">
        <x:v>13</x:v>
      </x:c>
      <x:c r="E102" s="21" t="n">
        <x:v>19</x:v>
      </x:c>
      <x:c r="F102" s="17" t="str">
        <x:v>完整单产品班次</x:v>
      </x:c>
      <x:c r="G102" s="18" t="n">
        <x:v>13000</x:v>
      </x:c>
      <x:c r="H102" s="18" t="n">
        <x:v>13000</x:v>
      </x:c>
      <x:c r="I102" s="18" t="n">
        <x:v>13000</x:v>
      </x:c>
      <x:c r="J102" s="18" t="n">
        <x:v>13000</x:v>
      </x:c>
      <x:c r="K102" s="20" t="n">
        <x:v>0</x:v>
      </x:c>
      <x:c r="L102" s="19" t="n">
        <x:v>1</x:v>
      </x:c>
      <x:c r="M102" s="18" t="n">
        <x:v>13000</x:v>
      </x:c>
      <x:c r="N102" s="18" t="n">
        <x:v>13000</x:v>
      </x:c>
      <x:c r="O102" s="21" t="n">
        <x:v>19</x:v>
      </x:c>
      <x:c r="P102" s="20" t="n">
        <x:v>1</x:v>
      </x:c>
      <x:c r="Q102" s="20" t="n">
        <x:v>1</x:v>
      </x:c>
      <x:c r="R102" s="20" t="n">
        <x:v>1</x:v>
      </x:c>
      <x:c r="S102" s="20" t="n">
        <x:v>1</x:v>
      </x:c>
      <x:c r="T102" s="20" t="n">
        <x:v>1</x:v>
      </x:c>
      <x:c r="U102" s="20" t="n">
        <x:v>1</x:v>
      </x:c>
      <x:c r="V102" s="17" t="n">
        <x:v>1</x:v>
      </x:c>
    </x:row>
    <x:row r="103" ht="20" customHeight="1">
      <x:c r="A103" s="17" t="str">
        <x:v>P0061</x:v>
      </x:c>
      <x:c r="B103" s="17" t="str">
        <x:v>Q10</x:v>
      </x:c>
      <x:c r="C103" s="17" t="str">
        <x:v>L13</x:v>
      </x:c>
      <x:c r="D103" s="21" t="n">
        <x:v>1</x:v>
      </x:c>
      <x:c r="E103" s="21" t="n">
        <x:v>6</x:v>
      </x:c>
      <x:c r="F103" s="17" t="str">
        <x:v>完整单产品班次</x:v>
      </x:c>
      <x:c r="G103" s="18" t="n">
        <x:v>13000</x:v>
      </x:c>
      <x:c r="H103" s="18" t="n">
        <x:v>13000</x:v>
      </x:c>
      <x:c r="I103" s="18" t="n">
        <x:v>13000</x:v>
      </x:c>
      <x:c r="J103" s="18" t="n">
        <x:v>13000</x:v>
      </x:c>
      <x:c r="K103" s="20" t="n">
        <x:v>0</x:v>
      </x:c>
      <x:c r="L103" s="19" t="n">
        <x:v>1</x:v>
      </x:c>
      <x:c r="M103" s="18" t="n">
        <x:v>13000</x:v>
      </x:c>
      <x:c r="N103" s="18" t="n">
        <x:v>13000</x:v>
      </x:c>
      <x:c r="O103" s="21" t="n">
        <x:v>6</x:v>
      </x:c>
      <x:c r="P103" s="20" t="n">
        <x:v>1</x:v>
      </x:c>
      <x:c r="Q103" s="20" t="n">
        <x:v>1</x:v>
      </x:c>
      <x:c r="R103" s="20" t="n">
        <x:v>1</x:v>
      </x:c>
      <x:c r="S103" s="20" t="n">
        <x:v>1</x:v>
      </x:c>
      <x:c r="T103" s="20" t="n">
        <x:v>1</x:v>
      </x:c>
      <x:c r="U103" s="20" t="n">
        <x:v>1</x:v>
      </x:c>
      <x:c r="V103" s="17" t="n">
        <x:v>1</x:v>
      </x:c>
    </x:row>
    <x:row r="104" ht="20" customHeight="1">
      <x:c r="A104" s="17" t="str">
        <x:v>P0062</x:v>
      </x:c>
      <x:c r="B104" s="17" t="str">
        <x:v>Q11</x:v>
      </x:c>
      <x:c r="C104" s="17" t="str">
        <x:v>L13</x:v>
      </x:c>
      <x:c r="D104" s="21" t="n">
        <x:v>1</x:v>
      </x:c>
      <x:c r="E104" s="21" t="n">
        <x:v>5</x:v>
      </x:c>
      <x:c r="F104" s="17" t="str">
        <x:v>完整单产品班次</x:v>
      </x:c>
      <x:c r="G104" s="18" t="n">
        <x:v>7500</x:v>
      </x:c>
      <x:c r="H104" s="18" t="n">
        <x:v>16672.799999999996</x:v>
      </x:c>
      <x:c r="I104" s="18" t="n">
        <x:v>7500</x:v>
      </x:c>
      <x:c r="J104" s="18" t="n">
        <x:v>7500</x:v>
      </x:c>
      <x:c r="K104" s="20" t="n">
        <x:v>0</x:v>
      </x:c>
      <x:c r="L104" s="19" t="n">
        <x:v>1</x:v>
      </x:c>
      <x:c r="M104" s="18" t="n">
        <x:v>7500</x:v>
      </x:c>
      <x:c r="N104" s="18" t="n">
        <x:v>7500</x:v>
      </x:c>
      <x:c r="O104" s="21" t="n">
        <x:v>5</x:v>
      </x:c>
      <x:c r="P104" s="20" t="n">
        <x:v>1</x:v>
      </x:c>
      <x:c r="Q104" s="20" t="n">
        <x:v>1</x:v>
      </x:c>
      <x:c r="R104" s="20" t="n">
        <x:v>1</x:v>
      </x:c>
      <x:c r="S104" s="20" t="n">
        <x:v>1</x:v>
      </x:c>
      <x:c r="T104" s="20" t="n">
        <x:v>1</x:v>
      </x:c>
      <x:c r="U104" s="20" t="n">
        <x:v>1</x:v>
      </x:c>
      <x:c r="V104" s="17" t="n">
        <x:v>1</x:v>
      </x:c>
    </x:row>
    <x:row r="105" ht="20" customHeight="1">
      <x:c r="A105" s="17" t="str">
        <x:v>P0063</x:v>
      </x:c>
      <x:c r="B105" s="17" t="str">
        <x:v>Q03</x:v>
      </x:c>
      <x:c r="C105" s="17" t="str">
        <x:v>L13</x:v>
      </x:c>
      <x:c r="D105" s="21" t="n">
        <x:v>2</x:v>
      </x:c>
      <x:c r="E105" s="21" t="n">
        <x:v>2</x:v>
      </x:c>
      <x:c r="F105" s="17" t="str">
        <x:v>冲突或缺班次回退</x:v>
      </x:c>
      <x:c r="G105" s="18" t="n">
        <x:v>6056.4</x:v>
      </x:c>
      <x:c r="H105" s="18" t="n">
        <x:v>14160</x:v>
      </x:c>
      <x:c r="I105" s="18" t="n">
        <x:v>6372</x:v>
      </x:c>
      <x:c r="J105" s="18" t="n">
        <x:v>6372</x:v>
      </x:c>
      <x:c r="K105" s="20" t="n">
        <x:v>1.4549395522388058</x:v>
      </x:c>
      <x:c r="L105" s="19" t="n">
        <x:v>0.504708097928437</x:v>
      </x:c>
      <x:c r="M105" s="18" t="n">
        <x:v>60</x:v>
      </x:c>
      <x:c r="N105" s="18" t="n">
        <x:v>6372</x:v>
      </x:c>
      <x:c r="O105" s="21" t="n">
        <x:v>2</x:v>
      </x:c>
      <x:c r="P105" s="20" t="n">
        <x:v>1</x:v>
      </x:c>
      <x:c r="Q105" s="20" t="n">
        <x:v>1</x:v>
      </x:c>
      <x:c r="R105" s="20" t="n">
        <x:v>1</x:v>
      </x:c>
      <x:c r="S105" s="20" t="n">
        <x:v>1</x:v>
      </x:c>
      <x:c r="T105" s="20" t="n">
        <x:v>1</x:v>
      </x:c>
      <x:c r="U105" s="20" t="n">
        <x:v>1</x:v>
      </x:c>
      <x:c r="V105" s="17" t="n">
        <x:v>1</x:v>
      </x:c>
    </x:row>
    <x:row r="106" ht="20" customHeight="1">
      <x:c r="A106" s="17" t="str">
        <x:v>P0064</x:v>
      </x:c>
      <x:c r="B106" s="17" t="str">
        <x:v>Q12</x:v>
      </x:c>
      <x:c r="C106" s="17" t="str">
        <x:v>L02</x:v>
      </x:c>
      <x:c r="D106" s="21" t="n">
        <x:v>1</x:v>
      </x:c>
      <x:c r="E106" s="21" t="n">
        <x:v>1</x:v>
      </x:c>
      <x:c r="F106" s="17" t="str">
        <x:v>冲突或缺班次回退</x:v>
      </x:c>
      <x:c r="G106" s="18" t="n">
        <x:v>12</x:v>
      </x:c>
      <x:c r="H106" s="18" t="n">
        <x:v>12</x:v>
      </x:c>
      <x:c r="I106" s="18" t="n">
        <x:v>12</x:v>
      </x:c>
      <x:c r="J106" s="18" t="n">
        <x:v>12</x:v>
      </x:c>
      <x:c r="K106" s="20" t="n">
        <x:v>0</x:v>
      </x:c>
      <x:c r="L106" s="19" t="n">
        <x:v>1</x:v>
      </x:c>
      <x:c r="M106" s="18" t="n">
        <x:v>12</x:v>
      </x:c>
      <x:c r="N106" s="18" t="n">
        <x:v>12</x:v>
      </x:c>
      <x:c r="O106" s="21" t="n">
        <x:v>1</x:v>
      </x:c>
      <x:c r="P106" s="20" t="n">
        <x:v>0.047619047619047616</x:v>
      </x:c>
      <x:c r="Q106" s="20" t="n">
        <x:v>0</x:v>
      </x:c>
      <x:c r="R106" s="20" t="n">
        <x:v>1</x:v>
      </x:c>
      <x:c r="S106" s="20" t="n">
        <x:v>1</x:v>
      </x:c>
      <x:c r="T106" s="20" t="n">
        <x:v>0</x:v>
      </x:c>
      <x:c r="U106" s="20" t="n">
        <x:v>0.4</x:v>
      </x:c>
      <x:c r="V106" s="17" t="n">
        <x:v>2</x:v>
      </x:c>
    </x:row>
    <x:row r="107" ht="20" customHeight="1">
      <x:c r="A107" s="17" t="str">
        <x:v>P0064</x:v>
      </x:c>
      <x:c r="B107" s="17" t="str">
        <x:v>Q12</x:v>
      </x:c>
      <x:c r="C107" s="17" t="str">
        <x:v>L09</x:v>
      </x:c>
      <x:c r="D107" s="21" t="n">
        <x:v>19</x:v>
      </x:c>
      <x:c r="E107" s="21" t="n">
        <x:v>20</x:v>
      </x:c>
      <x:c r="F107" s="17" t="str">
        <x:v>完整单产品班次</x:v>
      </x:c>
      <x:c r="G107" s="18" t="n">
        <x:v>18849</x:v>
      </x:c>
      <x:c r="H107" s="18" t="n">
        <x:v>18849</x:v>
      </x:c>
      <x:c r="I107" s="18" t="n">
        <x:v>18849</x:v>
      </x:c>
      <x:c r="J107" s="18" t="n">
        <x:v>18849</x:v>
      </x:c>
      <x:c r="K107" s="20" t="n">
        <x:v>0</x:v>
      </x:c>
      <x:c r="L107" s="19" t="n">
        <x:v>0.9666797903560429</x:v>
      </x:c>
      <x:c r="M107" s="18" t="n">
        <x:v>18500</x:v>
      </x:c>
      <x:c r="N107" s="18" t="n">
        <x:v>18849</x:v>
      </x:c>
      <x:c r="O107" s="21" t="n">
        <x:v>20</x:v>
      </x:c>
      <x:c r="P107" s="20" t="n">
        <x:v>0.9523809523809523</x:v>
      </x:c>
      <x:c r="Q107" s="20" t="n">
        <x:v>1</x:v>
      </x:c>
      <x:c r="R107" s="20" t="n">
        <x:v>1</x:v>
      </x:c>
      <x:c r="S107" s="20" t="n">
        <x:v>0</x:v>
      </x:c>
      <x:c r="T107" s="20" t="n">
        <x:v>1</x:v>
      </x:c>
      <x:c r="U107" s="20" t="n">
        <x:v>0.8</x:v>
      </x:c>
      <x:c r="V107" s="17" t="n">
        <x:v>1</x:v>
      </x:c>
    </x:row>
    <x:row r="108" ht="20" customHeight="1">
      <x:c r="A108" s="17" t="str">
        <x:v>P0065</x:v>
      </x:c>
      <x:c r="B108" s="17" t="str">
        <x:v>Q03</x:v>
      </x:c>
      <x:c r="C108" s="17" t="str">
        <x:v>L09</x:v>
      </x:c>
      <x:c r="D108" s="21" t="n">
        <x:v>1</x:v>
      </x:c>
      <x:c r="E108" s="21" t="n">
        <x:v>3</x:v>
      </x:c>
      <x:c r="F108" s="17" t="str">
        <x:v>完整单产品班次</x:v>
      </x:c>
      <x:c r="G108" s="18" t="n">
        <x:v>19100</x:v>
      </x:c>
      <x:c r="H108" s="18" t="n">
        <x:v>19000</x:v>
      </x:c>
      <x:c r="I108" s="18" t="n">
        <x:v>19100</x:v>
      </x:c>
      <x:c r="J108" s="18" t="n">
        <x:v>19016</x:v>
      </x:c>
      <x:c r="K108" s="20" t="n">
        <x:v>0</x:v>
      </x:c>
      <x:c r="L108" s="19" t="n">
        <x:v>1.0044173327724022</x:v>
      </x:c>
      <x:c r="M108" s="18" t="n">
        <x:v>19100</x:v>
      </x:c>
      <x:c r="N108" s="18" t="n">
        <x:v>19100</x:v>
      </x:c>
      <x:c r="O108" s="21" t="n">
        <x:v>3</x:v>
      </x:c>
      <x:c r="P108" s="20" t="n">
        <x:v>1</x:v>
      </x:c>
      <x:c r="Q108" s="20" t="n">
        <x:v>1</x:v>
      </x:c>
      <x:c r="R108" s="20" t="n">
        <x:v>1</x:v>
      </x:c>
      <x:c r="S108" s="20" t="n">
        <x:v>1</x:v>
      </x:c>
      <x:c r="T108" s="20" t="n">
        <x:v>1</x:v>
      </x:c>
      <x:c r="U108" s="20" t="n">
        <x:v>1</x:v>
      </x:c>
      <x:c r="V108" s="17" t="n">
        <x:v>1</x:v>
      </x:c>
    </x:row>
    <x:row r="109" ht="20" customHeight="1">
      <x:c r="A109" s="17" t="str">
        <x:v>P0066</x:v>
      </x:c>
      <x:c r="B109" s="17" t="str">
        <x:v>Q03</x:v>
      </x:c>
      <x:c r="C109" s="17" t="str">
        <x:v>L07</x:v>
      </x:c>
      <x:c r="D109" s="21" t="n">
        <x:v>2</x:v>
      </x:c>
      <x:c r="E109" s="21" t="n">
        <x:v>2</x:v>
      </x:c>
      <x:c r="F109" s="17" t="str">
        <x:v>冲突或缺班次回退</x:v>
      </x:c>
      <x:c r="G109" s="18" t="n">
        <x:v>20187.3</x:v>
      </x:c>
      <x:c r="H109" s="18" t="n">
        <x:v>10683</x:v>
      </x:c>
      <x:c r="I109" s="18" t="n">
        <x:v>21240</x:v>
      </x:c>
      <x:c r="J109" s="18" t="n">
        <x:v>13398</x:v>
      </x:c>
      <x:c r="K109" s="20" t="n">
        <x:v>1.4568589750770091</x:v>
      </x:c>
      <x:c r="L109" s="19" t="n">
        <x:v>0.7995969547693685</x:v>
      </x:c>
      <x:c r="M109" s="18" t="n">
        <x:v>186</x:v>
      </x:c>
      <x:c r="N109" s="18" t="n">
        <x:v>21240</x:v>
      </x:c>
      <x:c r="O109" s="21" t="n">
        <x:v>2</x:v>
      </x:c>
      <x:c r="P109" s="20" t="n">
        <x:v>1</x:v>
      </x:c>
      <x:c r="Q109" s="20" t="n">
        <x:v>1</x:v>
      </x:c>
      <x:c r="R109" s="20" t="n">
        <x:v>1</x:v>
      </x:c>
      <x:c r="S109" s="20" t="n">
        <x:v>1</x:v>
      </x:c>
      <x:c r="T109" s="20" t="n">
        <x:v>1</x:v>
      </x:c>
      <x:c r="U109" s="20" t="n">
        <x:v>1</x:v>
      </x:c>
      <x:c r="V109" s="17" t="n">
        <x:v>1</x:v>
      </x:c>
    </x:row>
    <x:row r="110" ht="20" customHeight="1">
      <x:c r="A110" s="17" t="str">
        <x:v>P0067</x:v>
      </x:c>
      <x:c r="B110" s="17" t="str">
        <x:v>Q03</x:v>
      </x:c>
      <x:c r="C110" s="17" t="str">
        <x:v>L07</x:v>
      </x:c>
      <x:c r="D110" s="21" t="n">
        <x:v>1</x:v>
      </x:c>
      <x:c r="E110" s="21" t="n">
        <x:v>2</x:v>
      </x:c>
      <x:c r="F110" s="17" t="str">
        <x:v>完整单产品班次</x:v>
      </x:c>
      <x:c r="G110" s="18" t="n">
        <x:v>10620</x:v>
      </x:c>
      <x:c r="H110" s="18" t="n">
        <x:v>10683</x:v>
      </x:c>
      <x:c r="I110" s="18" t="n">
        <x:v>10620</x:v>
      </x:c>
      <x:c r="J110" s="18" t="n">
        <x:v>10620</x:v>
      </x:c>
      <x:c r="K110" s="20" t="n">
        <x:v>0</x:v>
      </x:c>
      <x:c r="L110" s="19" t="n">
        <x:v>1</x:v>
      </x:c>
      <x:c r="M110" s="18" t="n">
        <x:v>10620</x:v>
      </x:c>
      <x:c r="N110" s="18" t="n">
        <x:v>10620</x:v>
      </x:c>
      <x:c r="O110" s="21" t="n">
        <x:v>2</x:v>
      </x:c>
      <x:c r="P110" s="20" t="n">
        <x:v>1</x:v>
      </x:c>
      <x:c r="Q110" s="20" t="n">
        <x:v>1</x:v>
      </x:c>
      <x:c r="R110" s="20" t="n">
        <x:v>1</x:v>
      </x:c>
      <x:c r="S110" s="20" t="n">
        <x:v>1</x:v>
      </x:c>
      <x:c r="T110" s="20" t="n">
        <x:v>1</x:v>
      </x:c>
      <x:c r="U110" s="20" t="n">
        <x:v>1</x:v>
      </x:c>
      <x:c r="V110" s="17" t="n">
        <x:v>1</x:v>
      </x:c>
    </x:row>
    <x:row r="111" ht="20" customHeight="1">
      <x:c r="A111" s="17" t="str">
        <x:v>P0068</x:v>
      </x:c>
      <x:c r="B111" s="17" t="str">
        <x:v>Q03</x:v>
      </x:c>
      <x:c r="C111" s="17" t="str">
        <x:v>L13</x:v>
      </x:c>
      <x:c r="D111" s="21" t="n">
        <x:v>2</x:v>
      </x:c>
      <x:c r="E111" s="21" t="n">
        <x:v>2</x:v>
      </x:c>
      <x:c r="F111" s="17" t="str">
        <x:v>完整单产品班次</x:v>
      </x:c>
      <x:c r="G111" s="18" t="n">
        <x:v>16149</x:v>
      </x:c>
      <x:c r="H111" s="18" t="n">
        <x:v>14160</x:v>
      </x:c>
      <x:c r="I111" s="18" t="n">
        <x:v>16992</x:v>
      </x:c>
      <x:c r="J111" s="18" t="n">
        <x:v>14728</x:v>
      </x:c>
      <x:c r="K111" s="20" t="n">
        <x:v>1.4597428170988087</x:v>
      </x:c>
      <x:c r="L111" s="19" t="n">
        <x:v>0.5813416621401413</x:v>
      </x:c>
      <x:c r="M111" s="18" t="n">
        <x:v>132</x:v>
      </x:c>
      <x:c r="N111" s="18" t="n">
        <x:v>16992</x:v>
      </x:c>
      <x:c r="O111" s="21" t="n">
        <x:v>2</x:v>
      </x:c>
      <x:c r="P111" s="20" t="n">
        <x:v>1</x:v>
      </x:c>
      <x:c r="Q111" s="20" t="n">
        <x:v>1</x:v>
      </x:c>
      <x:c r="R111" s="20" t="n">
        <x:v>1</x:v>
      </x:c>
      <x:c r="S111" s="20" t="n">
        <x:v>1</x:v>
      </x:c>
      <x:c r="T111" s="20" t="n">
        <x:v>1</x:v>
      </x:c>
      <x:c r="U111" s="20" t="n">
        <x:v>1</x:v>
      </x:c>
      <x:c r="V111" s="17" t="n">
        <x:v>1</x:v>
      </x:c>
    </x:row>
    <x:row r="112" ht="20" customHeight="1">
      <x:c r="A112" s="17" t="str">
        <x:v>P0069</x:v>
      </x:c>
      <x:c r="B112" s="17" t="str">
        <x:v>Q07</x:v>
      </x:c>
      <x:c r="C112" s="17" t="str">
        <x:v>L01</x:v>
      </x:c>
      <x:c r="D112" s="21" t="n">
        <x:v>1</x:v>
      </x:c>
      <x:c r="E112" s="21" t="n">
        <x:v>1</x:v>
      </x:c>
      <x:c r="F112" s="17" t="str">
        <x:v>冲突或缺班次回退</x:v>
      </x:c>
      <x:c r="G112" s="18" t="n">
        <x:v>48</x:v>
      </x:c>
      <x:c r="H112" s="18" t="n">
        <x:v>48</x:v>
      </x:c>
      <x:c r="I112" s="18" t="n">
        <x:v>48</x:v>
      </x:c>
      <x:c r="J112" s="18" t="n">
        <x:v>48</x:v>
      </x:c>
      <x:c r="K112" s="20" t="n">
        <x:v>0</x:v>
      </x:c>
      <x:c r="L112" s="19" t="n">
        <x:v>1</x:v>
      </x:c>
      <x:c r="M112" s="18" t="n">
        <x:v>48</x:v>
      </x:c>
      <x:c r="N112" s="18" t="n">
        <x:v>48</x:v>
      </x:c>
      <x:c r="O112" s="21" t="n">
        <x:v>1</x:v>
      </x:c>
      <x:c r="P112" s="20" t="n">
        <x:v>0.5</x:v>
      </x:c>
      <x:c r="Q112" s="20" t="n">
        <x:v>0</x:v>
      </x:c>
      <x:c r="R112" s="20" t="n">
        <x:v>1</x:v>
      </x:c>
      <x:c r="S112" s="20" t="n">
        <x:v>1</x:v>
      </x:c>
      <x:c r="T112" s="20" t="n">
        <x:v>1</x:v>
      </x:c>
      <x:c r="U112" s="20" t="n">
        <x:v>0.6000000000000001</x:v>
      </x:c>
      <x:c r="V112" s="17" t="n">
        <x:v>2</x:v>
      </x:c>
    </x:row>
    <x:row r="113" ht="20" customHeight="1">
      <x:c r="A113" s="17" t="str">
        <x:v>P0069</x:v>
      </x:c>
      <x:c r="B113" s="17" t="str">
        <x:v>Q07</x:v>
      </x:c>
      <x:c r="C113" s="17" t="str">
        <x:v>L07</x:v>
      </x:c>
      <x:c r="D113" s="21" t="n">
        <x:v>1</x:v>
      </x:c>
      <x:c r="E113" s="21" t="n">
        <x:v>1</x:v>
      </x:c>
      <x:c r="F113" s="17" t="str">
        <x:v>冲突或缺班次回退</x:v>
      </x:c>
      <x:c r="G113" s="18" t="n">
        <x:v>290</x:v>
      </x:c>
      <x:c r="H113" s="18" t="n">
        <x:v>290</x:v>
      </x:c>
      <x:c r="I113" s="18" t="n">
        <x:v>290</x:v>
      </x:c>
      <x:c r="J113" s="18" t="n">
        <x:v>290</x:v>
      </x:c>
      <x:c r="K113" s="20" t="n">
        <x:v>0</x:v>
      </x:c>
      <x:c r="L113" s="19" t="n">
        <x:v>1</x:v>
      </x:c>
      <x:c r="M113" s="18" t="n">
        <x:v>290</x:v>
      </x:c>
      <x:c r="N113" s="18" t="n">
        <x:v>290</x:v>
      </x:c>
      <x:c r="O113" s="21" t="n">
        <x:v>1</x:v>
      </x:c>
      <x:c r="P113" s="20" t="n">
        <x:v>0.5</x:v>
      </x:c>
      <x:c r="Q113" s="20" t="n">
        <x:v>1</x:v>
      </x:c>
      <x:c r="R113" s="20" t="n">
        <x:v>1</x:v>
      </x:c>
      <x:c r="S113" s="20" t="n">
        <x:v>1</x:v>
      </x:c>
      <x:c r="T113" s="20" t="n">
        <x:v>1</x:v>
      </x:c>
      <x:c r="U113" s="20" t="n">
        <x:v>1</x:v>
      </x:c>
      <x:c r="V113" s="17" t="n">
        <x:v>1</x:v>
      </x:c>
    </x:row>
    <x:row r="114" ht="20" customHeight="1">
      <x:c r="A114" s="17" t="str">
        <x:v>P0070</x:v>
      </x:c>
      <x:c r="B114" s="17" t="str">
        <x:v>Q03</x:v>
      </x:c>
      <x:c r="C114" s="17" t="str">
        <x:v>L02</x:v>
      </x:c>
      <x:c r="D114" s="21" t="n">
        <x:v>156</x:v>
      </x:c>
      <x:c r="E114" s="21" t="n">
        <x:v>160</x:v>
      </x:c>
      <x:c r="F114" s="17" t="str">
        <x:v>完整单产品班次</x:v>
      </x:c>
      <x:c r="G114" s="18" t="n">
        <x:v>33000</x:v>
      </x:c>
      <x:c r="H114" s="18" t="n">
        <x:v>33000</x:v>
      </x:c>
      <x:c r="I114" s="18" t="n">
        <x:v>33000</x:v>
      </x:c>
      <x:c r="J114" s="18" t="n">
        <x:v>33000</x:v>
      </x:c>
      <x:c r="K114" s="20" t="n">
        <x:v>0</x:v>
      </x:c>
      <x:c r="L114" s="19" t="n">
        <x:v>0.9858197358197358</x:v>
      </x:c>
      <x:c r="M114" s="18" t="n">
        <x:v>32500</x:v>
      </x:c>
      <x:c r="N114" s="18" t="n">
        <x:v>33000</x:v>
      </x:c>
      <x:c r="O114" s="21" t="n">
        <x:v>160</x:v>
      </x:c>
      <x:c r="P114" s="20" t="n">
        <x:v>0.5673758865248227</x:v>
      </x:c>
      <x:c r="Q114" s="20" t="n">
        <x:v>0</x:v>
      </x:c>
      <x:c r="R114" s="20" t="n">
        <x:v>1</x:v>
      </x:c>
      <x:c r="S114" s="20" t="n">
        <x:v>1</x:v>
      </x:c>
      <x:c r="T114" s="20" t="n">
        <x:v>1</x:v>
      </x:c>
      <x:c r="U114" s="20" t="n">
        <x:v>0.6000000000000001</x:v>
      </x:c>
      <x:c r="V114" s="17" t="n">
        <x:v>1</x:v>
      </x:c>
    </x:row>
    <x:row r="115" ht="20" customHeight="1">
      <x:c r="A115" s="17" t="str">
        <x:v>P0070</x:v>
      </x:c>
      <x:c r="B115" s="17" t="str">
        <x:v>Q03</x:v>
      </x:c>
      <x:c r="C115" s="17" t="str">
        <x:v>L03</x:v>
      </x:c>
      <x:c r="D115" s="21" t="n">
        <x:v>117</x:v>
      </x:c>
      <x:c r="E115" s="21" t="n">
        <x:v>122</x:v>
      </x:c>
      <x:c r="F115" s="17" t="str">
        <x:v>完整单产品班次</x:v>
      </x:c>
      <x:c r="G115" s="18" t="n">
        <x:v>42000</x:v>
      </x:c>
      <x:c r="H115" s="18" t="n">
        <x:v>42000</x:v>
      </x:c>
      <x:c r="I115" s="18" t="n">
        <x:v>42000</x:v>
      </x:c>
      <x:c r="J115" s="18" t="n">
        <x:v>42000</x:v>
      </x:c>
      <x:c r="K115" s="20" t="n">
        <x:v>0</x:v>
      </x:c>
      <x:c r="L115" s="19" t="n">
        <x:v>0.9731379731379732</x:v>
      </x:c>
      <x:c r="M115" s="18" t="n">
        <x:v>42000</x:v>
      </x:c>
      <x:c r="N115" s="18" t="n">
        <x:v>42000</x:v>
      </x:c>
      <x:c r="O115" s="21" t="n">
        <x:v>122</x:v>
      </x:c>
      <x:c r="P115" s="20" t="n">
        <x:v>0.4326241134751773</x:v>
      </x:c>
      <x:c r="Q115" s="20" t="n">
        <x:v>1</x:v>
      </x:c>
      <x:c r="R115" s="20" t="n">
        <x:v>1</x:v>
      </x:c>
      <x:c r="S115" s="20" t="n">
        <x:v>0</x:v>
      </x:c>
      <x:c r="T115" s="20" t="n">
        <x:v>0</x:v>
      </x:c>
      <x:c r="U115" s="20" t="n">
        <x:v>0.6000000000000001</x:v>
      </x:c>
      <x:c r="V115" s="17" t="n">
        <x:v>1</x:v>
      </x:c>
    </x:row>
    <x:row r="116" ht="20" customHeight="1">
      <x:c r="A116" s="17" t="str">
        <x:v>P0071</x:v>
      </x:c>
      <x:c r="B116" s="17" t="str">
        <x:v>Q03</x:v>
      </x:c>
      <x:c r="C116" s="17" t="str">
        <x:v>L07</x:v>
      </x:c>
      <x:c r="D116" s="21" t="n">
        <x:v>2</x:v>
      </x:c>
      <x:c r="E116" s="21" t="n">
        <x:v>2</x:v>
      </x:c>
      <x:c r="F116" s="17" t="str">
        <x:v>冲突或缺班次回退</x:v>
      </x:c>
      <x:c r="G116" s="18" t="n">
        <x:v>8082</x:v>
      </x:c>
      <x:c r="H116" s="18" t="n">
        <x:v>10683</x:v>
      </x:c>
      <x:c r="I116" s="18" t="n">
        <x:v>8496</x:v>
      </x:c>
      <x:c r="J116" s="18" t="n">
        <x:v>8496</x:v>
      </x:c>
      <x:c r="K116" s="20" t="n">
        <x:v>1.409082644628099</x:v>
      </x:c>
      <x:c r="L116" s="19" t="n">
        <x:v>0.5127118644067796</x:v>
      </x:c>
      <x:c r="M116" s="18" t="n">
        <x:v>216</x:v>
      </x:c>
      <x:c r="N116" s="18" t="n">
        <x:v>8496</x:v>
      </x:c>
      <x:c r="O116" s="21" t="n">
        <x:v>2</x:v>
      </x:c>
      <x:c r="P116" s="20" t="n">
        <x:v>1</x:v>
      </x:c>
      <x:c r="Q116" s="20" t="n">
        <x:v>1</x:v>
      </x:c>
      <x:c r="R116" s="20" t="n">
        <x:v>1</x:v>
      </x:c>
      <x:c r="S116" s="20" t="n">
        <x:v>1</x:v>
      </x:c>
      <x:c r="T116" s="20" t="n">
        <x:v>1</x:v>
      </x:c>
      <x:c r="U116" s="20" t="n">
        <x:v>1</x:v>
      </x:c>
      <x:c r="V116" s="17" t="n">
        <x:v>1</x:v>
      </x:c>
    </x:row>
    <x:row r="117" ht="20" customHeight="1">
      <x:c r="A117" s="17" t="str">
        <x:v>P0072</x:v>
      </x:c>
      <x:c r="B117" s="17" t="str">
        <x:v>Q06</x:v>
      </x:c>
      <x:c r="C117" s="17" t="str">
        <x:v>L11</x:v>
      </x:c>
      <x:c r="D117" s="21" t="n">
        <x:v>1</x:v>
      </x:c>
      <x:c r="E117" s="21" t="n">
        <x:v>1</x:v>
      </x:c>
      <x:c r="F117" s="17" t="str">
        <x:v>冲突或缺班次回退</x:v>
      </x:c>
      <x:c r="G117" s="18" t="n">
        <x:v>280</x:v>
      </x:c>
      <x:c r="H117" s="18" t="n">
        <x:v>280</x:v>
      </x:c>
      <x:c r="I117" s="18" t="n">
        <x:v>280</x:v>
      </x:c>
      <x:c r="J117" s="18" t="n">
        <x:v>280</x:v>
      </x:c>
      <x:c r="K117" s="20" t="n">
        <x:v>0</x:v>
      </x:c>
      <x:c r="L117" s="19" t="n">
        <x:v>1</x:v>
      </x:c>
      <x:c r="M117" s="18" t="n">
        <x:v>280</x:v>
      </x:c>
      <x:c r="N117" s="18" t="n">
        <x:v>280</x:v>
      </x:c>
      <x:c r="O117" s="21" t="n">
        <x:v>1</x:v>
      </x:c>
      <x:c r="P117" s="20" t="n">
        <x:v>1</x:v>
      </x:c>
      <x:c r="Q117" s="20" t="n">
        <x:v>1</x:v>
      </x:c>
      <x:c r="R117" s="20" t="n">
        <x:v>1</x:v>
      </x:c>
      <x:c r="S117" s="20" t="n">
        <x:v>1</x:v>
      </x:c>
      <x:c r="T117" s="20" t="n">
        <x:v>1</x:v>
      </x:c>
      <x:c r="U117" s="20" t="n">
        <x:v>1</x:v>
      </x:c>
      <x:c r="V117" s="17" t="n">
        <x:v>1</x:v>
      </x:c>
    </x:row>
    <x:row r="118" ht="20" customHeight="1">
      <x:c r="A118" s="17" t="str">
        <x:v>P0073</x:v>
      </x:c>
      <x:c r="B118" s="17" t="str">
        <x:v>Q03</x:v>
      </x:c>
      <x:c r="C118" s="17" t="str">
        <x:v>L01</x:v>
      </x:c>
      <x:c r="D118" s="21" t="n">
        <x:v>1</x:v>
      </x:c>
      <x:c r="E118" s="21" t="n">
        <x:v>1</x:v>
      </x:c>
      <x:c r="F118" s="17" t="str">
        <x:v>冲突或缺班次回退</x:v>
      </x:c>
      <x:c r="G118" s="18" t="n">
        <x:v>300</x:v>
      </x:c>
      <x:c r="H118" s="18" t="n">
        <x:v>23000</x:v>
      </x:c>
      <x:c r="I118" s="18" t="n">
        <x:v>300</x:v>
      </x:c>
      <x:c r="J118" s="18" t="n">
        <x:v>300</x:v>
      </x:c>
      <x:c r="K118" s="20" t="n">
        <x:v>0</x:v>
      </x:c>
      <x:c r="L118" s="19" t="n">
        <x:v>1</x:v>
      </x:c>
      <x:c r="M118" s="18" t="n">
        <x:v>300</x:v>
      </x:c>
      <x:c r="N118" s="18" t="n">
        <x:v>300</x:v>
      </x:c>
      <x:c r="O118" s="21" t="n">
        <x:v>1</x:v>
      </x:c>
      <x:c r="P118" s="20" t="n">
        <x:v>1</x:v>
      </x:c>
      <x:c r="Q118" s="20" t="n">
        <x:v>1</x:v>
      </x:c>
      <x:c r="R118" s="20" t="n">
        <x:v>1</x:v>
      </x:c>
      <x:c r="S118" s="20" t="n">
        <x:v>1</x:v>
      </x:c>
      <x:c r="T118" s="20" t="n">
        <x:v>1</x:v>
      </x:c>
      <x:c r="U118" s="20" t="n">
        <x:v>1</x:v>
      </x:c>
      <x:c r="V118" s="17" t="n">
        <x:v>1</x:v>
      </x:c>
    </x:row>
    <x:row r="119" ht="20" customHeight="1">
      <x:c r="A119" s="17" t="str">
        <x:v>P0074</x:v>
      </x:c>
      <x:c r="B119" s="17" t="str">
        <x:v>Q11</x:v>
      </x:c>
      <x:c r="C119" s="17" t="str">
        <x:v>L13</x:v>
      </x:c>
      <x:c r="D119" s="21" t="n">
        <x:v>14</x:v>
      </x:c>
      <x:c r="E119" s="21" t="n">
        <x:v>15</x:v>
      </x:c>
      <x:c r="F119" s="17" t="str">
        <x:v>完整单产品班次</x:v>
      </x:c>
      <x:c r="G119" s="18" t="n">
        <x:v>11000</x:v>
      </x:c>
      <x:c r="H119" s="18" t="n">
        <x:v>16672.799999999996</x:v>
      </x:c>
      <x:c r="I119" s="18" t="n">
        <x:v>11000</x:v>
      </x:c>
      <x:c r="J119" s="18" t="n">
        <x:v>11000</x:v>
      </x:c>
      <x:c r="K119" s="20" t="n">
        <x:v>0</x:v>
      </x:c>
      <x:c r="L119" s="19" t="n">
        <x:v>0.9487012987012987</x:v>
      </x:c>
      <x:c r="M119" s="18" t="n">
        <x:v>11000</x:v>
      </x:c>
      <x:c r="N119" s="18" t="n">
        <x:v>11000</x:v>
      </x:c>
      <x:c r="O119" s="21" t="n">
        <x:v>15</x:v>
      </x:c>
      <x:c r="P119" s="20" t="n">
        <x:v>1</x:v>
      </x:c>
      <x:c r="Q119" s="20" t="n">
        <x:v>1</x:v>
      </x:c>
      <x:c r="R119" s="20" t="n">
        <x:v>1</x:v>
      </x:c>
      <x:c r="S119" s="20" t="n">
        <x:v>1</x:v>
      </x:c>
      <x:c r="T119" s="20" t="n">
        <x:v>1</x:v>
      </x:c>
      <x:c r="U119" s="20" t="n">
        <x:v>1</x:v>
      </x:c>
      <x:c r="V119" s="17" t="n">
        <x:v>1</x:v>
      </x:c>
    </x:row>
    <x:row r="120" ht="20" customHeight="1">
      <x:c r="A120" s="17" t="str">
        <x:v>P0075</x:v>
      </x:c>
      <x:c r="B120" s="17" t="str">
        <x:v>Q11</x:v>
      </x:c>
      <x:c r="C120" s="17" t="str">
        <x:v>L13</x:v>
      </x:c>
      <x:c r="D120" s="21" t="n">
        <x:v>2</x:v>
      </x:c>
      <x:c r="E120" s="21" t="n">
        <x:v>4</x:v>
      </x:c>
      <x:c r="F120" s="17" t="str">
        <x:v>完整单产品班次</x:v>
      </x:c>
      <x:c r="G120" s="18" t="n">
        <x:v>10800</x:v>
      </x:c>
      <x:c r="H120" s="18" t="n">
        <x:v>16672.799999999996</x:v>
      </x:c>
      <x:c r="I120" s="18" t="n">
        <x:v>10800</x:v>
      </x:c>
      <x:c r="J120" s="18" t="n">
        <x:v>10800</x:v>
      </x:c>
      <x:c r="K120" s="20" t="n">
        <x:v>0</x:v>
      </x:c>
      <x:c r="L120" s="19" t="n">
        <x:v>1</x:v>
      </x:c>
      <x:c r="M120" s="18" t="n">
        <x:v>10800</x:v>
      </x:c>
      <x:c r="N120" s="18" t="n">
        <x:v>10800</x:v>
      </x:c>
      <x:c r="O120" s="21" t="n">
        <x:v>4</x:v>
      </x:c>
      <x:c r="P120" s="20" t="n">
        <x:v>1</x:v>
      </x:c>
      <x:c r="Q120" s="20" t="n">
        <x:v>1</x:v>
      </x:c>
      <x:c r="R120" s="20" t="n">
        <x:v>1</x:v>
      </x:c>
      <x:c r="S120" s="20" t="n">
        <x:v>1</x:v>
      </x:c>
      <x:c r="T120" s="20" t="n">
        <x:v>1</x:v>
      </x:c>
      <x:c r="U120" s="20" t="n">
        <x:v>1</x:v>
      </x:c>
      <x:c r="V120" s="17" t="n">
        <x:v>1</x:v>
      </x:c>
    </x:row>
    <x:row r="121" ht="20" customHeight="1">
      <x:c r="A121" s="17" t="str">
        <x:v>P0076</x:v>
      </x:c>
      <x:c r="B121" s="17" t="str">
        <x:v>Q11</x:v>
      </x:c>
      <x:c r="C121" s="17" t="str">
        <x:v>L13</x:v>
      </x:c>
      <x:c r="D121" s="21" t="n">
        <x:v>1</x:v>
      </x:c>
      <x:c r="E121" s="21" t="n">
        <x:v>1</x:v>
      </x:c>
      <x:c r="F121" s="17" t="str">
        <x:v>完整单产品班次</x:v>
      </x:c>
      <x:c r="G121" s="18" t="n">
        <x:v>12114</x:v>
      </x:c>
      <x:c r="H121" s="18" t="n">
        <x:v>16672.799999999996</x:v>
      </x:c>
      <x:c r="I121" s="18" t="n">
        <x:v>12114</x:v>
      </x:c>
      <x:c r="J121" s="18" t="n">
        <x:v>12114</x:v>
      </x:c>
      <x:c r="K121" s="20" t="n">
        <x:v>0</x:v>
      </x:c>
      <x:c r="L121" s="19" t="n">
        <x:v>1</x:v>
      </x:c>
      <x:c r="M121" s="18" t="n">
        <x:v>12114</x:v>
      </x:c>
      <x:c r="N121" s="18" t="n">
        <x:v>12114</x:v>
      </x:c>
      <x:c r="O121" s="21" t="n">
        <x:v>1</x:v>
      </x:c>
      <x:c r="P121" s="20" t="n">
        <x:v>1</x:v>
      </x:c>
      <x:c r="Q121" s="20" t="n">
        <x:v>1</x:v>
      </x:c>
      <x:c r="R121" s="20" t="n">
        <x:v>1</x:v>
      </x:c>
      <x:c r="S121" s="20" t="n">
        <x:v>1</x:v>
      </x:c>
      <x:c r="T121" s="20" t="n">
        <x:v>1</x:v>
      </x:c>
      <x:c r="U121" s="20" t="n">
        <x:v>1</x:v>
      </x:c>
      <x:c r="V121" s="17" t="n">
        <x:v>1</x:v>
      </x:c>
    </x:row>
    <x:row r="122" ht="20" customHeight="1">
      <x:c r="A122" s="17" t="str">
        <x:v>P0077</x:v>
      </x:c>
      <x:c r="B122" s="17" t="str">
        <x:v>Q09</x:v>
      </x:c>
      <x:c r="C122" s="17" t="str">
        <x:v>L13</x:v>
      </x:c>
      <x:c r="D122" s="21" t="n">
        <x:v>2</x:v>
      </x:c>
      <x:c r="E122" s="21" t="n">
        <x:v>2</x:v>
      </x:c>
      <x:c r="F122" s="17" t="str">
        <x:v>冲突或缺班次回退</x:v>
      </x:c>
      <x:c r="G122" s="18" t="n">
        <x:v>2649.75</x:v>
      </x:c>
      <x:c r="H122" s="18" t="n">
        <x:v>13000</x:v>
      </x:c>
      <x:c r="I122" s="18" t="n">
        <x:v>2655</x:v>
      </x:c>
      <x:c r="J122" s="18" t="n">
        <x:v>2655</x:v>
      </x:c>
      <x:c r="K122" s="20" t="n">
        <x:v>0.02990835734870317</x:v>
      </x:c>
      <x:c r="L122" s="19" t="n">
        <x:v>0.980225988700565</x:v>
      </x:c>
      <x:c r="M122" s="18" t="n">
        <x:v>2550</x:v>
      </x:c>
      <x:c r="N122" s="18" t="n">
        <x:v>2655</x:v>
      </x:c>
      <x:c r="O122" s="21" t="n">
        <x:v>2</x:v>
      </x:c>
      <x:c r="P122" s="20" t="n">
        <x:v>1</x:v>
      </x:c>
      <x:c r="Q122" s="20" t="n">
        <x:v>1</x:v>
      </x:c>
      <x:c r="R122" s="20" t="n">
        <x:v>1</x:v>
      </x:c>
      <x:c r="S122" s="20" t="n">
        <x:v>1</x:v>
      </x:c>
      <x:c r="T122" s="20" t="n">
        <x:v>1</x:v>
      </x:c>
      <x:c r="U122" s="20" t="n">
        <x:v>1</x:v>
      </x:c>
      <x:c r="V122" s="17" t="n">
        <x:v>1</x:v>
      </x:c>
    </x:row>
    <x:row r="123" ht="20" customHeight="1">
      <x:c r="A123" s="17" t="str">
        <x:v>P0078</x:v>
      </x:c>
      <x:c r="B123" s="17" t="str">
        <x:v>Q09</x:v>
      </x:c>
      <x:c r="C123" s="17" t="str">
        <x:v>L13</x:v>
      </x:c>
      <x:c r="D123" s="21" t="n">
        <x:v>1</x:v>
      </x:c>
      <x:c r="E123" s="21" t="n">
        <x:v>1</x:v>
      </x:c>
      <x:c r="F123" s="17" t="str">
        <x:v>冲突或缺班次回退</x:v>
      </x:c>
      <x:c r="G123" s="18" t="n">
        <x:v>4800</x:v>
      </x:c>
      <x:c r="H123" s="18" t="n">
        <x:v>13000</x:v>
      </x:c>
      <x:c r="I123" s="18" t="n">
        <x:v>4800</x:v>
      </x:c>
      <x:c r="J123" s="18" t="n">
        <x:v>4800</x:v>
      </x:c>
      <x:c r="K123" s="20" t="n">
        <x:v>0</x:v>
      </x:c>
      <x:c r="L123" s="19" t="n">
        <x:v>1</x:v>
      </x:c>
      <x:c r="M123" s="18" t="n">
        <x:v>4800</x:v>
      </x:c>
      <x:c r="N123" s="18" t="n">
        <x:v>4800</x:v>
      </x:c>
      <x:c r="O123" s="21" t="n">
        <x:v>1</x:v>
      </x:c>
      <x:c r="P123" s="20" t="n">
        <x:v>1</x:v>
      </x:c>
      <x:c r="Q123" s="20" t="n">
        <x:v>1</x:v>
      </x:c>
      <x:c r="R123" s="20" t="n">
        <x:v>1</x:v>
      </x:c>
      <x:c r="S123" s="20" t="n">
        <x:v>1</x:v>
      </x:c>
      <x:c r="T123" s="20" t="n">
        <x:v>1</x:v>
      </x:c>
      <x:c r="U123" s="20" t="n">
        <x:v>1</x:v>
      </x:c>
      <x:c r="V123" s="17" t="n">
        <x:v>1</x:v>
      </x:c>
    </x:row>
    <x:row r="124" ht="20" customHeight="1">
      <x:c r="A124" s="17" t="str">
        <x:v>P0079</x:v>
      </x:c>
      <x:c r="B124" s="17" t="str">
        <x:v>Q06</x:v>
      </x:c>
      <x:c r="C124" s="17" t="str">
        <x:v>L02</x:v>
      </x:c>
      <x:c r="D124" s="21" t="n">
        <x:v>1</x:v>
      </x:c>
      <x:c r="E124" s="21" t="n">
        <x:v>1</x:v>
      </x:c>
      <x:c r="F124" s="17" t="str">
        <x:v>冲突或缺班次回退</x:v>
      </x:c>
      <x:c r="G124" s="18" t="n">
        <x:v>66</x:v>
      </x:c>
      <x:c r="H124" s="18" t="n">
        <x:v>132</x:v>
      </x:c>
      <x:c r="I124" s="18" t="n">
        <x:v>66</x:v>
      </x:c>
      <x:c r="J124" s="18" t="n">
        <x:v>66</x:v>
      </x:c>
      <x:c r="K124" s="20" t="n">
        <x:v>0</x:v>
      </x:c>
      <x:c r="L124" s="19" t="n">
        <x:v>1</x:v>
      </x:c>
      <x:c r="M124" s="18" t="n">
        <x:v>66</x:v>
      </x:c>
      <x:c r="N124" s="18" t="n">
        <x:v>66</x:v>
      </x:c>
      <x:c r="O124" s="21" t="n">
        <x:v>1</x:v>
      </x:c>
      <x:c r="P124" s="20" t="n">
        <x:v>0.019230769230769232</x:v>
      </x:c>
      <x:c r="Q124" s="20" t="n">
        <x:v>0</x:v>
      </x:c>
      <x:c r="R124" s="20" t="n">
        <x:v>1</x:v>
      </x:c>
      <x:c r="S124" s="20" t="n">
        <x:v>1</x:v>
      </x:c>
      <x:c r="T124" s="20" t="n">
        <x:v>0</x:v>
      </x:c>
      <x:c r="U124" s="20" t="n">
        <x:v>0.4</x:v>
      </x:c>
      <x:c r="V124" s="17" t="n">
        <x:v>2</x:v>
      </x:c>
    </x:row>
    <x:row r="125" ht="20" customHeight="1">
      <x:c r="A125" s="17" t="str">
        <x:v>P0079</x:v>
      </x:c>
      <x:c r="B125" s="17" t="str">
        <x:v>Q06</x:v>
      </x:c>
      <x:c r="C125" s="17" t="str">
        <x:v>L07</x:v>
      </x:c>
      <x:c r="D125" s="21" t="n">
        <x:v>48</x:v>
      </x:c>
      <x:c r="E125" s="21" t="n">
        <x:v>51</x:v>
      </x:c>
      <x:c r="F125" s="17" t="str">
        <x:v>完整单产品班次</x:v>
      </x:c>
      <x:c r="G125" s="18" t="n">
        <x:v>10500</x:v>
      </x:c>
      <x:c r="H125" s="18" t="n">
        <x:v>21500</x:v>
      </x:c>
      <x:c r="I125" s="18" t="n">
        <x:v>10500</x:v>
      </x:c>
      <x:c r="J125" s="18" t="n">
        <x:v>10500</x:v>
      </x:c>
      <x:c r="K125" s="20" t="n">
        <x:v>0</x:v>
      </x:c>
      <x:c r="L125" s="19" t="n">
        <x:v>0.9821746031746033</x:v>
      </x:c>
      <x:c r="M125" s="18" t="n">
        <x:v>10500</x:v>
      </x:c>
      <x:c r="N125" s="18" t="n">
        <x:v>10500</x:v>
      </x:c>
      <x:c r="O125" s="21" t="n">
        <x:v>51</x:v>
      </x:c>
      <x:c r="P125" s="20" t="n">
        <x:v>0.9807692307692307</x:v>
      </x:c>
      <x:c r="Q125" s="20" t="n">
        <x:v>1</x:v>
      </x:c>
      <x:c r="R125" s="20" t="n">
        <x:v>1</x:v>
      </x:c>
      <x:c r="S125" s="20" t="n">
        <x:v>0</x:v>
      </x:c>
      <x:c r="T125" s="20" t="n">
        <x:v>1</x:v>
      </x:c>
      <x:c r="U125" s="20" t="n">
        <x:v>0.8</x:v>
      </x:c>
      <x:c r="V125" s="17" t="n">
        <x:v>1</x:v>
      </x:c>
    </x:row>
    <x:row r="126" ht="20" customHeight="1">
      <x:c r="A126" s="17" t="str">
        <x:v>P0080</x:v>
      </x:c>
      <x:c r="B126" s="17" t="str">
        <x:v>Q06</x:v>
      </x:c>
      <x:c r="C126" s="17" t="str">
        <x:v>L02</x:v>
      </x:c>
      <x:c r="D126" s="21" t="n">
        <x:v>1</x:v>
      </x:c>
      <x:c r="E126" s="21" t="n">
        <x:v>1</x:v>
      </x:c>
      <x:c r="F126" s="17" t="str">
        <x:v>完整单产品班次</x:v>
      </x:c>
      <x:c r="G126" s="18" t="n">
        <x:v>132</x:v>
      </x:c>
      <x:c r="H126" s="18" t="n">
        <x:v>132</x:v>
      </x:c>
      <x:c r="I126" s="18" t="n">
        <x:v>132</x:v>
      </x:c>
      <x:c r="J126" s="18" t="n">
        <x:v>132</x:v>
      </x:c>
      <x:c r="K126" s="20" t="n">
        <x:v>0</x:v>
      </x:c>
      <x:c r="L126" s="19" t="n">
        <x:v>1</x:v>
      </x:c>
      <x:c r="M126" s="18" t="n">
        <x:v>132</x:v>
      </x:c>
      <x:c r="N126" s="18" t="n">
        <x:v>132</x:v>
      </x:c>
      <x:c r="O126" s="21" t="n">
        <x:v>1</x:v>
      </x:c>
      <x:c r="P126" s="20" t="n">
        <x:v>0.027777777777777776</x:v>
      </x:c>
      <x:c r="Q126" s="20" t="n">
        <x:v>0</x:v>
      </x:c>
      <x:c r="R126" s="20" t="n">
        <x:v>1</x:v>
      </x:c>
      <x:c r="S126" s="20" t="n">
        <x:v>1</x:v>
      </x:c>
      <x:c r="T126" s="20" t="n">
        <x:v>0</x:v>
      </x:c>
      <x:c r="U126" s="20" t="n">
        <x:v>0.4</x:v>
      </x:c>
      <x:c r="V126" s="17" t="n">
        <x:v>2</x:v>
      </x:c>
    </x:row>
    <x:row r="127" ht="20" customHeight="1">
      <x:c r="A127" s="17" t="str">
        <x:v>P0080</x:v>
      </x:c>
      <x:c r="B127" s="17" t="str">
        <x:v>Q06</x:v>
      </x:c>
      <x:c r="C127" s="17" t="str">
        <x:v>L07</x:v>
      </x:c>
      <x:c r="D127" s="21" t="n">
        <x:v>3</x:v>
      </x:c>
      <x:c r="E127" s="21" t="n">
        <x:v>35</x:v>
      </x:c>
      <x:c r="F127" s="17" t="str">
        <x:v>完整单产品班次</x:v>
      </x:c>
      <x:c r="G127" s="18" t="n">
        <x:v>21000</x:v>
      </x:c>
      <x:c r="H127" s="18" t="n">
        <x:v>21500</x:v>
      </x:c>
      <x:c r="I127" s="18" t="n">
        <x:v>21000</x:v>
      </x:c>
      <x:c r="J127" s="18" t="n">
        <x:v>21000</x:v>
      </x:c>
      <x:c r="K127" s="20" t="n">
        <x:v>0</x:v>
      </x:c>
      <x:c r="L127" s="19" t="n">
        <x:v>0.7941587301587301</x:v>
      </x:c>
      <x:c r="M127" s="18" t="n">
        <x:v>19703.199999999997</x:v>
      </x:c>
      <x:c r="N127" s="18" t="n">
        <x:v>21000</x:v>
      </x:c>
      <x:c r="O127" s="21" t="n">
        <x:v>35</x:v>
      </x:c>
      <x:c r="P127" s="20" t="n">
        <x:v>0.9722222222222222</x:v>
      </x:c>
      <x:c r="Q127" s="20" t="n">
        <x:v>1</x:v>
      </x:c>
      <x:c r="R127" s="20" t="n">
        <x:v>1</x:v>
      </x:c>
      <x:c r="S127" s="20" t="n">
        <x:v>0</x:v>
      </x:c>
      <x:c r="T127" s="20" t="n">
        <x:v>1</x:v>
      </x:c>
      <x:c r="U127" s="20" t="n">
        <x:v>0.8</x:v>
      </x:c>
      <x:c r="V127" s="17" t="n">
        <x:v>1</x:v>
      </x:c>
    </x:row>
    <x:row r="128" ht="20" customHeight="1">
      <x:c r="A128" s="17" t="str">
        <x:v>P0081</x:v>
      </x:c>
      <x:c r="B128" s="17" t="str">
        <x:v>Q06</x:v>
      </x:c>
      <x:c r="C128" s="17" t="str">
        <x:v>L02</x:v>
      </x:c>
      <x:c r="D128" s="21" t="n">
        <x:v>1</x:v>
      </x:c>
      <x:c r="E128" s="21" t="n">
        <x:v>1</x:v>
      </x:c>
      <x:c r="F128" s="17" t="str">
        <x:v>冲突或缺班次回退</x:v>
      </x:c>
      <x:c r="G128" s="18" t="n">
        <x:v>246</x:v>
      </x:c>
      <x:c r="H128" s="18" t="n">
        <x:v>132</x:v>
      </x:c>
      <x:c r="I128" s="18" t="n">
        <x:v>246</x:v>
      </x:c>
      <x:c r="J128" s="18" t="n">
        <x:v>151</x:v>
      </x:c>
      <x:c r="K128" s="20" t="n">
        <x:v>0</x:v>
      </x:c>
      <x:c r="L128" s="19" t="n">
        <x:v>1.6291390728476822</x:v>
      </x:c>
      <x:c r="M128" s="18" t="n">
        <x:v>246</x:v>
      </x:c>
      <x:c r="N128" s="18" t="n">
        <x:v>246</x:v>
      </x:c>
      <x:c r="O128" s="21" t="n">
        <x:v>1</x:v>
      </x:c>
      <x:c r="P128" s="20" t="n">
        <x:v>0.003215434083601286</x:v>
      </x:c>
      <x:c r="Q128" s="20" t="n">
        <x:v>0</x:v>
      </x:c>
      <x:c r="R128" s="20" t="n">
        <x:v>1</x:v>
      </x:c>
      <x:c r="S128" s="20" t="n">
        <x:v>1</x:v>
      </x:c>
      <x:c r="T128" s="20" t="n">
        <x:v>0</x:v>
      </x:c>
      <x:c r="U128" s="20" t="n">
        <x:v>0.4</x:v>
      </x:c>
      <x:c r="V128" s="17" t="n">
        <x:v>4</x:v>
      </x:c>
    </x:row>
    <x:row r="129" ht="20" customHeight="1">
      <x:c r="A129" s="17" t="str">
        <x:v>P0081</x:v>
      </x:c>
      <x:c r="B129" s="17" t="str">
        <x:v>Q06</x:v>
      </x:c>
      <x:c r="C129" s="17" t="str">
        <x:v>L04</x:v>
      </x:c>
      <x:c r="D129" s="21" t="n">
        <x:v>82</x:v>
      </x:c>
      <x:c r="E129" s="21" t="n">
        <x:v>83</x:v>
      </x:c>
      <x:c r="F129" s="17" t="str">
        <x:v>完整单产品班次</x:v>
      </x:c>
      <x:c r="G129" s="18" t="n">
        <x:v>21500</x:v>
      </x:c>
      <x:c r="H129" s="18" t="n">
        <x:v>21500</x:v>
      </x:c>
      <x:c r="I129" s="18" t="n">
        <x:v>21500</x:v>
      </x:c>
      <x:c r="J129" s="18" t="n">
        <x:v>21500</x:v>
      </x:c>
      <x:c r="K129" s="20" t="n">
        <x:v>0</x:v>
      </x:c>
      <x:c r="L129" s="19" t="n">
        <x:v>0.9934770277935336</x:v>
      </x:c>
      <x:c r="M129" s="18" t="n">
        <x:v>21500</x:v>
      </x:c>
      <x:c r="N129" s="18" t="n">
        <x:v>21500</x:v>
      </x:c>
      <x:c r="O129" s="21" t="n">
        <x:v>83</x:v>
      </x:c>
      <x:c r="P129" s="20" t="n">
        <x:v>0.26688102893890675</x:v>
      </x:c>
      <x:c r="Q129" s="20" t="n">
        <x:v>1</x:v>
      </x:c>
      <x:c r="R129" s="20" t="n">
        <x:v>1</x:v>
      </x:c>
      <x:c r="S129" s="20" t="n">
        <x:v>0.13827956186166337</x:v>
      </x:c>
      <x:c r="T129" s="20" t="n">
        <x:v>0.37962962962962954</x:v>
      </x:c>
      <x:c r="U129" s="20" t="n">
        <x:v>0.7035818382982587</x:v>
      </x:c>
      <x:c r="V129" s="17" t="n">
        <x:v>2</x:v>
      </x:c>
    </x:row>
    <x:row r="130" ht="20" customHeight="1">
      <x:c r="A130" s="17" t="str">
        <x:v>P0081</x:v>
      </x:c>
      <x:c r="B130" s="17" t="str">
        <x:v>Q06</x:v>
      </x:c>
      <x:c r="C130" s="17" t="str">
        <x:v>L07</x:v>
      </x:c>
      <x:c r="D130" s="21" t="n">
        <x:v>205</x:v>
      </x:c>
      <x:c r="E130" s="21" t="n">
        <x:v>217</x:v>
      </x:c>
      <x:c r="F130" s="17" t="str">
        <x:v>完整单产品班次</x:v>
      </x:c>
      <x:c r="G130" s="18" t="n">
        <x:v>21500</x:v>
      </x:c>
      <x:c r="H130" s="18" t="n">
        <x:v>21500</x:v>
      </x:c>
      <x:c r="I130" s="18" t="n">
        <x:v>21500</x:v>
      </x:c>
      <x:c r="J130" s="18" t="n">
        <x:v>21500</x:v>
      </x:c>
      <x:c r="K130" s="20" t="n">
        <x:v>0</x:v>
      </x:c>
      <x:c r="L130" s="19" t="n">
        <x:v>0.9878615995462281</x:v>
      </x:c>
      <x:c r="M130" s="18" t="n">
        <x:v>21500</x:v>
      </x:c>
      <x:c r="N130" s="18" t="n">
        <x:v>21500</x:v>
      </x:c>
      <x:c r="O130" s="21" t="n">
        <x:v>217</x:v>
      </x:c>
      <x:c r="P130" s="20" t="n">
        <x:v>0.6977491961414791</x:v>
      </x:c>
      <x:c r="Q130" s="20" t="n">
        <x:v>1</x:v>
      </x:c>
      <x:c r="R130" s="20" t="n">
        <x:v>1</x:v>
      </x:c>
      <x:c r="S130" s="20" t="n">
        <x:v>0.1306671374181207</x:v>
      </x:c>
      <x:c r="T130" s="20" t="n">
        <x:v>1</x:v>
      </x:c>
      <x:c r="U130" s="20" t="n">
        <x:v>0.8261334274836243</x:v>
      </x:c>
      <x:c r="V130" s="17" t="n">
        <x:v>1</x:v>
      </x:c>
    </x:row>
    <x:row r="131" ht="20" customHeight="1">
      <x:c r="A131" s="17" t="str">
        <x:v>P0081</x:v>
      </x:c>
      <x:c r="B131" s="17" t="str">
        <x:v>Q06</x:v>
      </x:c>
      <x:c r="C131" s="17" t="str">
        <x:v>L13</x:v>
      </x:c>
      <x:c r="D131" s="21" t="n">
        <x:v>6</x:v>
      </x:c>
      <x:c r="E131" s="21" t="n">
        <x:v>9</x:v>
      </x:c>
      <x:c r="F131" s="17" t="str">
        <x:v>完整单产品班次</x:v>
      </x:c>
      <x:c r="G131" s="18" t="n">
        <x:v>21500</x:v>
      </x:c>
      <x:c r="H131" s="18" t="n">
        <x:v>21500</x:v>
      </x:c>
      <x:c r="I131" s="18" t="n">
        <x:v>21500</x:v>
      </x:c>
      <x:c r="J131" s="18" t="n">
        <x:v>21500</x:v>
      </x:c>
      <x:c r="K131" s="20" t="n">
        <x:v>0</x:v>
      </x:c>
      <x:c r="L131" s="19" t="n">
        <x:v>0.8914728682170543</x:v>
      </x:c>
      <x:c r="M131" s="18" t="n">
        <x:v>18000</x:v>
      </x:c>
      <x:c r="N131" s="18" t="n">
        <x:v>21500</x:v>
      </x:c>
      <x:c r="O131" s="21" t="n">
        <x:v>9</x:v>
      </x:c>
      <x:c r="P131" s="20" t="n">
        <x:v>0.028938906752411574</x:v>
      </x:c>
      <x:c r="Q131" s="20" t="n">
        <x:v>1</x:v>
      </x:c>
      <x:c r="R131" s="20" t="n">
        <x:v>1</x:v>
      </x:c>
      <x:c r="S131" s="20" t="n">
        <x:v>0</x:v>
      </x:c>
      <x:c r="T131" s="20" t="n">
        <x:v>0.037037037037037035</x:v>
      </x:c>
      <x:c r="U131" s="20" t="n">
        <x:v>0.6074074074074075</x:v>
      </x:c>
      <x:c r="V131" s="17" t="n">
        <x:v>3</x:v>
      </x:c>
    </x:row>
    <x:row r="132" ht="20" customHeight="1">
      <x:c r="A132" s="17" t="str">
        <x:v>P0081</x:v>
      </x:c>
      <x:c r="B132" s="17" t="str">
        <x:v>Q06</x:v>
      </x:c>
      <x:c r="C132" s="17" t="str">
        <x:v>L14</x:v>
      </x:c>
      <x:c r="D132" s="21" t="n">
        <x:v>1</x:v>
      </x:c>
      <x:c r="E132" s="21" t="n">
        <x:v>1</x:v>
      </x:c>
      <x:c r="F132" s="17" t="str">
        <x:v>冲突或缺班次回退</x:v>
      </x:c>
      <x:c r="G132" s="18" t="n">
        <x:v>500</x:v>
      </x:c>
      <x:c r="H132" s="18" t="n">
        <x:v>500</x:v>
      </x:c>
      <x:c r="I132" s="18" t="n">
        <x:v>500</x:v>
      </x:c>
      <x:c r="J132" s="18" t="n">
        <x:v>500</x:v>
      </x:c>
      <x:c r="K132" s="20" t="n">
        <x:v>0</x:v>
      </x:c>
      <x:c r="L132" s="19" t="n">
        <x:v>1</x:v>
      </x:c>
      <x:c r="M132" s="18" t="n">
        <x:v>500</x:v>
      </x:c>
      <x:c r="N132" s="18" t="n">
        <x:v>500</x:v>
      </x:c>
      <x:c r="O132" s="21" t="n">
        <x:v>1</x:v>
      </x:c>
      <x:c r="P132" s="20" t="n">
        <x:v>0.003215434083601286</x:v>
      </x:c>
      <x:c r="Q132" s="20" t="n">
        <x:v>0.01634736990022952</x:v>
      </x:c>
      <x:c r="R132" s="20" t="n">
        <x:v>1</x:v>
      </x:c>
      <x:c r="S132" s="20" t="n">
        <x:v>0.1471222771243649</x:v>
      </x:c>
      <x:c r="T132" s="20" t="n">
        <x:v>0</x:v>
      </x:c>
      <x:c r="U132" s="20" t="n">
        <x:v>0.2359634033849648</x:v>
      </x:c>
      <x:c r="V132" s="17" t="n">
        <x:v>5</x:v>
      </x:c>
    </x:row>
    <x:row r="133" ht="20" customHeight="1">
      <x:c r="A133" s="17" t="str">
        <x:v>P0082</x:v>
      </x:c>
      <x:c r="B133" s="17" t="str">
        <x:v>Q06</x:v>
      </x:c>
      <x:c r="C133" s="17" t="str">
        <x:v>L02</x:v>
      </x:c>
      <x:c r="D133" s="21" t="n">
        <x:v>1</x:v>
      </x:c>
      <x:c r="E133" s="21" t="n">
        <x:v>1</x:v>
      </x:c>
      <x:c r="F133" s="17" t="str">
        <x:v>冲突或缺班次回退</x:v>
      </x:c>
      <x:c r="G133" s="18" t="n">
        <x:v>84</x:v>
      </x:c>
      <x:c r="H133" s="18" t="n">
        <x:v>132</x:v>
      </x:c>
      <x:c r="I133" s="18" t="n">
        <x:v>84</x:v>
      </x:c>
      <x:c r="J133" s="18" t="n">
        <x:v>84</x:v>
      </x:c>
      <x:c r="K133" s="20" t="n">
        <x:v>0</x:v>
      </x:c>
      <x:c r="L133" s="19" t="n">
        <x:v>1</x:v>
      </x:c>
      <x:c r="M133" s="18" t="n">
        <x:v>84</x:v>
      </x:c>
      <x:c r="N133" s="18" t="n">
        <x:v>84</x:v>
      </x:c>
      <x:c r="O133" s="21" t="n">
        <x:v>1</x:v>
      </x:c>
      <x:c r="P133" s="20" t="n">
        <x:v>0.013333333333333334</x:v>
      </x:c>
      <x:c r="Q133" s="20" t="n">
        <x:v>0</x:v>
      </x:c>
      <x:c r="R133" s="20" t="n">
        <x:v>1</x:v>
      </x:c>
      <x:c r="S133" s="20" t="n">
        <x:v>1</x:v>
      </x:c>
      <x:c r="T133" s="20" t="n">
        <x:v>0</x:v>
      </x:c>
      <x:c r="U133" s="20" t="n">
        <x:v>0.4</x:v>
      </x:c>
      <x:c r="V133" s="17" t="n">
        <x:v>3</x:v>
      </x:c>
    </x:row>
    <x:row r="134" ht="20" customHeight="1">
      <x:c r="A134" s="17" t="str">
        <x:v>P0082</x:v>
      </x:c>
      <x:c r="B134" s="17" t="str">
        <x:v>Q06</x:v>
      </x:c>
      <x:c r="C134" s="17" t="str">
        <x:v>L04</x:v>
      </x:c>
      <x:c r="D134" s="21" t="n">
        <x:v>54</x:v>
      </x:c>
      <x:c r="E134" s="21" t="n">
        <x:v>57</x:v>
      </x:c>
      <x:c r="F134" s="17" t="str">
        <x:v>完整单产品班次</x:v>
      </x:c>
      <x:c r="G134" s="18" t="n">
        <x:v>15000</x:v>
      </x:c>
      <x:c r="H134" s="18" t="n">
        <x:v>21500</x:v>
      </x:c>
      <x:c r="I134" s="18" t="n">
        <x:v>15000</x:v>
      </x:c>
      <x:c r="J134" s="18" t="n">
        <x:v>15000</x:v>
      </x:c>
      <x:c r="K134" s="20" t="n">
        <x:v>0</x:v>
      </x:c>
      <x:c r="L134" s="19" t="n">
        <x:v>0.9580246913580247</x:v>
      </x:c>
      <x:c r="M134" s="18" t="n">
        <x:v>15000</x:v>
      </x:c>
      <x:c r="N134" s="18" t="n">
        <x:v>15000</x:v>
      </x:c>
      <x:c r="O134" s="21" t="n">
        <x:v>57</x:v>
      </x:c>
      <x:c r="P134" s="20" t="n">
        <x:v>0.76</x:v>
      </x:c>
      <x:c r="Q134" s="20" t="n">
        <x:v>1</x:v>
      </x:c>
      <x:c r="R134" s="20" t="n">
        <x:v>1</x:v>
      </x:c>
      <x:c r="S134" s="20" t="n">
        <x:v>0</x:v>
      </x:c>
      <x:c r="T134" s="20" t="n">
        <x:v>1</x:v>
      </x:c>
      <x:c r="U134" s="20" t="n">
        <x:v>0.8</x:v>
      </x:c>
      <x:c r="V134" s="17" t="n">
        <x:v>1</x:v>
      </x:c>
    </x:row>
    <x:row r="135" ht="20" customHeight="1">
      <x:c r="A135" s="17" t="str">
        <x:v>P0082</x:v>
      </x:c>
      <x:c r="B135" s="17" t="str">
        <x:v>Q06</x:v>
      </x:c>
      <x:c r="C135" s="17" t="str">
        <x:v>L13</x:v>
      </x:c>
      <x:c r="D135" s="21" t="n">
        <x:v>12</x:v>
      </x:c>
      <x:c r="E135" s="21" t="n">
        <x:v>16</x:v>
      </x:c>
      <x:c r="F135" s="17" t="str">
        <x:v>完整单产品班次</x:v>
      </x:c>
      <x:c r="G135" s="18" t="n">
        <x:v>15000</x:v>
      </x:c>
      <x:c r="H135" s="18" t="n">
        <x:v>21500</x:v>
      </x:c>
      <x:c r="I135" s="18" t="n">
        <x:v>15000</x:v>
      </x:c>
      <x:c r="J135" s="18" t="n">
        <x:v>15000</x:v>
      </x:c>
      <x:c r="K135" s="20" t="n">
        <x:v>0</x:v>
      </x:c>
      <x:c r="L135" s="19" t="n">
        <x:v>0.9777777777777777</x:v>
      </x:c>
      <x:c r="M135" s="18" t="n">
        <x:v>15000</x:v>
      </x:c>
      <x:c r="N135" s="18" t="n">
        <x:v>15000</x:v>
      </x:c>
      <x:c r="O135" s="21" t="n">
        <x:v>16</x:v>
      </x:c>
      <x:c r="P135" s="20" t="n">
        <x:v>0.21333333333333335</x:v>
      </x:c>
      <x:c r="Q135" s="20" t="n">
        <x:v>1</x:v>
      </x:c>
      <x:c r="R135" s="20" t="n">
        <x:v>1</x:v>
      </x:c>
      <x:c r="S135" s="20" t="n">
        <x:v>0.4705882352941167</x:v>
      </x:c>
      <x:c r="T135" s="20" t="n">
        <x:v>0.26785714285714285</x:v>
      </x:c>
      <x:c r="U135" s="20" t="n">
        <x:v>0.747689075630252</x:v>
      </x:c>
      <x:c r="V135" s="17" t="n">
        <x:v>2</x:v>
      </x:c>
    </x:row>
    <x:row r="136" ht="20" customHeight="1">
      <x:c r="A136" s="17" t="str">
        <x:v>P0082</x:v>
      </x:c>
      <x:c r="B136" s="17" t="str">
        <x:v>Q06</x:v>
      </x:c>
      <x:c r="C136" s="17" t="str">
        <x:v>L14</x:v>
      </x:c>
      <x:c r="D136" s="21" t="n">
        <x:v>1</x:v>
      </x:c>
      <x:c r="E136" s="21" t="n">
        <x:v>1</x:v>
      </x:c>
      <x:c r="F136" s="17" t="str">
        <x:v>冲突或缺班次回退</x:v>
      </x:c>
      <x:c r="G136" s="18" t="n">
        <x:v>15000</x:v>
      </x:c>
      <x:c r="H136" s="18" t="n">
        <x:v>15000</x:v>
      </x:c>
      <x:c r="I136" s="18" t="n">
        <x:v>15000</x:v>
      </x:c>
      <x:c r="J136" s="18" t="n">
        <x:v>15000</x:v>
      </x:c>
      <x:c r="K136" s="20" t="n">
        <x:v>0</x:v>
      </x:c>
      <x:c r="L136" s="19" t="n">
        <x:v>1</x:v>
      </x:c>
      <x:c r="M136" s="18" t="n">
        <x:v>15000</x:v>
      </x:c>
      <x:c r="N136" s="18" t="n">
        <x:v>15000</x:v>
      </x:c>
      <x:c r="O136" s="21" t="n">
        <x:v>1</x:v>
      </x:c>
      <x:c r="P136" s="20" t="n">
        <x:v>0.013333333333333334</x:v>
      </x:c>
      <x:c r="Q136" s="20" t="n">
        <x:v>1</x:v>
      </x:c>
      <x:c r="R136" s="20" t="n">
        <x:v>1</x:v>
      </x:c>
      <x:c r="S136" s="20" t="n">
        <x:v>1</x:v>
      </x:c>
      <x:c r="T136" s="20" t="n">
        <x:v>0</x:v>
      </x:c>
      <x:c r="U136" s="20" t="n">
        <x:v>0.8</x:v>
      </x:c>
      <x:c r="V136" s="17" t="n">
        <x:v>1</x:v>
      </x:c>
    </x:row>
    <x:row r="137" ht="20" customHeight="1">
      <x:c r="A137" s="17" t="str">
        <x:v>P0083</x:v>
      </x:c>
      <x:c r="B137" s="17" t="str">
        <x:v>Q03</x:v>
      </x:c>
      <x:c r="C137" s="17" t="str">
        <x:v>L09</x:v>
      </x:c>
      <x:c r="D137" s="21" t="n">
        <x:v>102</x:v>
      </x:c>
      <x:c r="E137" s="21" t="n">
        <x:v>107</x:v>
      </x:c>
      <x:c r="F137" s="17" t="str">
        <x:v>完整单产品班次</x:v>
      </x:c>
      <x:c r="G137" s="18" t="n">
        <x:v>19000</x:v>
      </x:c>
      <x:c r="H137" s="18" t="n">
        <x:v>19000</x:v>
      </x:c>
      <x:c r="I137" s="18" t="n">
        <x:v>19000</x:v>
      </x:c>
      <x:c r="J137" s="18" t="n">
        <x:v>19000</x:v>
      </x:c>
      <x:c r="K137" s="20" t="n">
        <x:v>0</x:v>
      </x:c>
      <x:c r="L137" s="19" t="n">
        <x:v>1</x:v>
      </x:c>
      <x:c r="M137" s="18" t="n">
        <x:v>19000</x:v>
      </x:c>
      <x:c r="N137" s="18" t="n">
        <x:v>19000</x:v>
      </x:c>
      <x:c r="O137" s="21" t="n">
        <x:v>107</x:v>
      </x:c>
      <x:c r="P137" s="20" t="n">
        <x:v>1</x:v>
      </x:c>
      <x:c r="Q137" s="20" t="n">
        <x:v>1</x:v>
      </x:c>
      <x:c r="R137" s="20" t="n">
        <x:v>1</x:v>
      </x:c>
      <x:c r="S137" s="20" t="n">
        <x:v>1</x:v>
      </x:c>
      <x:c r="T137" s="20" t="n">
        <x:v>1</x:v>
      </x:c>
      <x:c r="U137" s="20" t="n">
        <x:v>1</x:v>
      </x:c>
      <x:c r="V137" s="17" t="n">
        <x:v>1</x:v>
      </x:c>
    </x:row>
    <x:row r="138" ht="20" customHeight="1">
      <x:c r="A138" s="17" t="str">
        <x:v>P0084</x:v>
      </x:c>
      <x:c r="B138" s="17" t="str">
        <x:v>Q13</x:v>
      </x:c>
      <x:c r="C138" s="17" t="str">
        <x:v>L12</x:v>
      </x:c>
      <x:c r="D138" s="21" t="n">
        <x:v>6</x:v>
      </x:c>
      <x:c r="E138" s="21" t="n">
        <x:v>6</x:v>
      </x:c>
      <x:c r="F138" s="17" t="str">
        <x:v>完整单产品班次</x:v>
      </x:c>
      <x:c r="G138" s="18" t="n">
        <x:v>27869</x:v>
      </x:c>
      <x:c r="H138" s="18" t="n">
        <x:v>27817.2</x:v>
      </x:c>
      <x:c r="I138" s="18" t="n">
        <x:v>28128</x:v>
      </x:c>
      <x:c r="J138" s="18" t="n">
        <x:v>27845</x:v>
      </x:c>
      <x:c r="K138" s="20" t="n">
        <x:v>0.01460825432236475</x:v>
      </x:c>
      <x:c r="L138" s="19" t="n">
        <x:v>0.9563655952594721</x:v>
      </x:c>
      <x:c r="M138" s="18" t="n">
        <x:v>26928.5</x:v>
      </x:c>
      <x:c r="N138" s="18" t="n">
        <x:v>28128</x:v>
      </x:c>
      <x:c r="O138" s="21" t="n">
        <x:v>6</x:v>
      </x:c>
      <x:c r="P138" s="20" t="n">
        <x:v>1</x:v>
      </x:c>
      <x:c r="Q138" s="20" t="n">
        <x:v>1</x:v>
      </x:c>
      <x:c r="R138" s="20" t="n">
        <x:v>1</x:v>
      </x:c>
      <x:c r="S138" s="20" t="n">
        <x:v>1</x:v>
      </x:c>
      <x:c r="T138" s="20" t="n">
        <x:v>1</x:v>
      </x:c>
      <x:c r="U138" s="20" t="n">
        <x:v>1</x:v>
      </x:c>
      <x:c r="V138" s="17" t="n">
        <x:v>1</x:v>
      </x:c>
    </x:row>
    <x:row r="139" ht="20" customHeight="1">
      <x:c r="A139" s="17" t="str">
        <x:v>P0085</x:v>
      </x:c>
      <x:c r="B139" s="17" t="str">
        <x:v>Q13</x:v>
      </x:c>
      <x:c r="C139" s="17" t="str">
        <x:v>L07</x:v>
      </x:c>
      <x:c r="D139" s="21" t="n">
        <x:v>1</x:v>
      </x:c>
      <x:c r="E139" s="21" t="n">
        <x:v>1</x:v>
      </x:c>
      <x:c r="F139" s="17" t="str">
        <x:v>冲突或缺班次回退</x:v>
      </x:c>
      <x:c r="G139" s="18" t="n">
        <x:v>400</x:v>
      </x:c>
      <x:c r="H139" s="18" t="n">
        <x:v>400</x:v>
      </x:c>
      <x:c r="I139" s="18" t="n">
        <x:v>400</x:v>
      </x:c>
      <x:c r="J139" s="18" t="n">
        <x:v>400</x:v>
      </x:c>
      <x:c r="K139" s="20" t="n">
        <x:v>0</x:v>
      </x:c>
      <x:c r="L139" s="19" t="n">
        <x:v>1</x:v>
      </x:c>
      <x:c r="M139" s="18" t="n">
        <x:v>400</x:v>
      </x:c>
      <x:c r="N139" s="18" t="n">
        <x:v>400</x:v>
      </x:c>
      <x:c r="O139" s="21" t="n">
        <x:v>1</x:v>
      </x:c>
      <x:c r="P139" s="20" t="n">
        <x:v>0.3333333333333333</x:v>
      </x:c>
      <x:c r="Q139" s="20" t="n">
        <x:v>0</x:v>
      </x:c>
      <x:c r="R139" s="20" t="n">
        <x:v>1</x:v>
      </x:c>
      <x:c r="S139" s="20" t="n">
        <x:v>1</x:v>
      </x:c>
      <x:c r="T139" s="20" t="n">
        <x:v>1</x:v>
      </x:c>
      <x:c r="U139" s="20" t="n">
        <x:v>0.6000000000000001</x:v>
      </x:c>
      <x:c r="V139" s="17" t="n">
        <x:v>3</x:v>
      </x:c>
    </x:row>
    <x:row r="140" ht="20" customHeight="1">
      <x:c r="A140" s="17" t="str">
        <x:v>P0085</x:v>
      </x:c>
      <x:c r="B140" s="17" t="str">
        <x:v>Q13</x:v>
      </x:c>
      <x:c r="C140" s="17" t="str">
        <x:v>L11</x:v>
      </x:c>
      <x:c r="D140" s="21" t="n">
        <x:v>1</x:v>
      </x:c>
      <x:c r="E140" s="21" t="n">
        <x:v>1</x:v>
      </x:c>
      <x:c r="F140" s="17" t="str">
        <x:v>完整单产品班次</x:v>
      </x:c>
      <x:c r="G140" s="18" t="n">
        <x:v>29000</x:v>
      </x:c>
      <x:c r="H140" s="18" t="n">
        <x:v>29000</x:v>
      </x:c>
      <x:c r="I140" s="18" t="n">
        <x:v>29000</x:v>
      </x:c>
      <x:c r="J140" s="18" t="n">
        <x:v>29000</x:v>
      </x:c>
      <x:c r="K140" s="20" t="n">
        <x:v>0</x:v>
      </x:c>
      <x:c r="L140" s="19" t="n">
        <x:v>1</x:v>
      </x:c>
      <x:c r="M140" s="18" t="n">
        <x:v>29000</x:v>
      </x:c>
      <x:c r="N140" s="18" t="n">
        <x:v>29000</x:v>
      </x:c>
      <x:c r="O140" s="21" t="n">
        <x:v>1</x:v>
      </x:c>
      <x:c r="P140" s="20" t="n">
        <x:v>0.3333333333333333</x:v>
      </x:c>
      <x:c r="Q140" s="20" t="n">
        <x:v>1</x:v>
      </x:c>
      <x:c r="R140" s="20" t="n">
        <x:v>1</x:v>
      </x:c>
      <x:c r="S140" s="20" t="n">
        <x:v>1</x:v>
      </x:c>
      <x:c r="T140" s="20" t="n">
        <x:v>1</x:v>
      </x:c>
      <x:c r="U140" s="20" t="n">
        <x:v>1</x:v>
      </x:c>
      <x:c r="V140" s="17" t="n">
        <x:v>1</x:v>
      </x:c>
    </x:row>
    <x:row r="141" ht="20" customHeight="1">
      <x:c r="A141" s="17" t="str">
        <x:v>P0085</x:v>
      </x:c>
      <x:c r="B141" s="17" t="str">
        <x:v>Q13</x:v>
      </x:c>
      <x:c r="C141" s="17" t="str">
        <x:v>L12</x:v>
      </x:c>
      <x:c r="D141" s="21" t="n">
        <x:v>1</x:v>
      </x:c>
      <x:c r="E141" s="21" t="n">
        <x:v>1</x:v>
      </x:c>
      <x:c r="F141" s="17" t="str">
        <x:v>完整单产品班次</x:v>
      </x:c>
      <x:c r="G141" s="18" t="n">
        <x:v>16684</x:v>
      </x:c>
      <x:c r="H141" s="18" t="n">
        <x:v>27817.2</x:v>
      </x:c>
      <x:c r="I141" s="18" t="n">
        <x:v>16684</x:v>
      </x:c>
      <x:c r="J141" s="18" t="n">
        <x:v>16684</x:v>
      </x:c>
      <x:c r="K141" s="20" t="n">
        <x:v>0</x:v>
      </x:c>
      <x:c r="L141" s="19" t="n">
        <x:v>1</x:v>
      </x:c>
      <x:c r="M141" s="18" t="n">
        <x:v>16684</x:v>
      </x:c>
      <x:c r="N141" s="18" t="n">
        <x:v>16684</x:v>
      </x:c>
      <x:c r="O141" s="21" t="n">
        <x:v>1</x:v>
      </x:c>
      <x:c r="P141" s="20" t="n">
        <x:v>0.3333333333333333</x:v>
      </x:c>
      <x:c r="Q141" s="20" t="n">
        <x:v>0.5693706293706293</x:v>
      </x:c>
      <x:c r="R141" s="20" t="n">
        <x:v>1</x:v>
      </x:c>
      <x:c r="S141" s="20" t="n">
        <x:v>1</x:v>
      </x:c>
      <x:c r="T141" s="20" t="n">
        <x:v>1</x:v>
      </x:c>
      <x:c r="U141" s="20" t="n">
        <x:v>0.8277482517482517</x:v>
      </x:c>
      <x:c r="V141" s="17" t="n">
        <x:v>2</x:v>
      </x:c>
    </x:row>
    <x:row r="142" ht="20" customHeight="1">
      <x:c r="A142" s="17" t="str">
        <x:v>P0086</x:v>
      </x:c>
      <x:c r="B142" s="17" t="str">
        <x:v>Q01</x:v>
      </x:c>
      <x:c r="C142" s="17" t="str">
        <x:v>L12</x:v>
      </x:c>
      <x:c r="D142" s="21" t="n">
        <x:v>2</x:v>
      </x:c>
      <x:c r="E142" s="21" t="n">
        <x:v>2</x:v>
      </x:c>
      <x:c r="F142" s="17" t="str">
        <x:v>冲突或缺班次回退</x:v>
      </x:c>
      <x:c r="G142" s="18" t="n">
        <x:v>2127</x:v>
      </x:c>
      <x:c r="H142" s="18" t="n">
        <x:v>2127</x:v>
      </x:c>
      <x:c r="I142" s="18" t="n">
        <x:v>2220</x:v>
      </x:c>
      <x:c r="J142" s="18" t="n">
        <x:v>2127</x:v>
      </x:c>
      <x:c r="K142" s="20" t="n">
        <x:v>1.0688511627906976</x:v>
      </x:c>
      <x:c r="L142" s="19" t="n">
        <x:v>0.6064880112834978</x:v>
      </x:c>
      <x:c r="M142" s="18" t="n">
        <x:v>360</x:v>
      </x:c>
      <x:c r="N142" s="18" t="n">
        <x:v>2220</x:v>
      </x:c>
      <x:c r="O142" s="21" t="n">
        <x:v>2</x:v>
      </x:c>
      <x:c r="P142" s="20" t="n">
        <x:v>1</x:v>
      </x:c>
      <x:c r="Q142" s="20" t="n">
        <x:v>1</x:v>
      </x:c>
      <x:c r="R142" s="20" t="n">
        <x:v>1</x:v>
      </x:c>
      <x:c r="S142" s="20" t="n">
        <x:v>1</x:v>
      </x:c>
      <x:c r="T142" s="20" t="n">
        <x:v>1</x:v>
      </x:c>
      <x:c r="U142" s="20" t="n">
        <x:v>1</x:v>
      </x:c>
      <x:c r="V142" s="17" t="n">
        <x:v>1</x:v>
      </x:c>
    </x:row>
    <x:row r="143" ht="20" customHeight="1">
      <x:c r="A143" s="17" t="str">
        <x:v>P0087</x:v>
      </x:c>
      <x:c r="B143" s="17" t="str">
        <x:v>Q03</x:v>
      </x:c>
      <x:c r="C143" s="17" t="str">
        <x:v>L02</x:v>
      </x:c>
      <x:c r="D143" s="21" t="n">
        <x:v>19</x:v>
      </x:c>
      <x:c r="E143" s="21" t="n">
        <x:v>19</x:v>
      </x:c>
      <x:c r="F143" s="17" t="str">
        <x:v>完整单产品班次</x:v>
      </x:c>
      <x:c r="G143" s="18" t="n">
        <x:v>5500</x:v>
      </x:c>
      <x:c r="H143" s="18" t="n">
        <x:v>33000</x:v>
      </x:c>
      <x:c r="I143" s="18" t="n">
        <x:v>5500</x:v>
      </x:c>
      <x:c r="J143" s="18" t="n">
        <x:v>5500</x:v>
      </x:c>
      <x:c r="K143" s="20" t="n">
        <x:v>0</x:v>
      </x:c>
      <x:c r="L143" s="19" t="n">
        <x:v>1</x:v>
      </x:c>
      <x:c r="M143" s="18" t="n">
        <x:v>5500</x:v>
      </x:c>
      <x:c r="N143" s="18" t="n">
        <x:v>5500</x:v>
      </x:c>
      <x:c r="O143" s="21" t="n">
        <x:v>19</x:v>
      </x:c>
      <x:c r="P143" s="20" t="n">
        <x:v>0.059748427672955975</x:v>
      </x:c>
      <x:c r="Q143" s="20" t="n">
        <x:v>0</x:v>
      </x:c>
      <x:c r="R143" s="20" t="n">
        <x:v>1</x:v>
      </x:c>
      <x:c r="S143" s="20" t="n">
        <x:v>1</x:v>
      </x:c>
      <x:c r="T143" s="20" t="n">
        <x:v>0</x:v>
      </x:c>
      <x:c r="U143" s="20" t="n">
        <x:v>0.4</x:v>
      </x:c>
      <x:c r="V143" s="17" t="n">
        <x:v>2</x:v>
      </x:c>
    </x:row>
    <x:row r="144" ht="20" customHeight="1">
      <x:c r="A144" s="17" t="str">
        <x:v>P0087</x:v>
      </x:c>
      <x:c r="B144" s="17" t="str">
        <x:v>Q03</x:v>
      </x:c>
      <x:c r="C144" s="17" t="str">
        <x:v>L03</x:v>
      </x:c>
      <x:c r="D144" s="21" t="n">
        <x:v>291</x:v>
      </x:c>
      <x:c r="E144" s="21" t="n">
        <x:v>299</x:v>
      </x:c>
      <x:c r="F144" s="17" t="str">
        <x:v>完整单产品班次</x:v>
      </x:c>
      <x:c r="G144" s="18" t="n">
        <x:v>6332</x:v>
      </x:c>
      <x:c r="H144" s="18" t="n">
        <x:v>42000</x:v>
      </x:c>
      <x:c r="I144" s="18" t="n">
        <x:v>6332</x:v>
      </x:c>
      <x:c r="J144" s="18" t="n">
        <x:v>6332</x:v>
      </x:c>
      <x:c r="K144" s="20" t="n">
        <x:v>0.02471</x:v>
      </x:c>
      <x:c r="L144" s="19" t="n">
        <x:v>0.9517152824360202</x:v>
      </x:c>
      <x:c r="M144" s="18" t="n">
        <x:v>6332</x:v>
      </x:c>
      <x:c r="N144" s="18" t="n">
        <x:v>6332</x:v>
      </x:c>
      <x:c r="O144" s="21" t="n">
        <x:v>299</x:v>
      </x:c>
      <x:c r="P144" s="20" t="n">
        <x:v>0.940251572327044</x:v>
      </x:c>
      <x:c r="Q144" s="20" t="n">
        <x:v>1</x:v>
      </x:c>
      <x:c r="R144" s="20" t="n">
        <x:v>0</x:v>
      </x:c>
      <x:c r="S144" s="20" t="n">
        <x:v>0</x:v>
      </x:c>
      <x:c r="T144" s="20" t="n">
        <x:v>1</x:v>
      </x:c>
      <x:c r="U144" s="20" t="n">
        <x:v>0.6000000000000001</x:v>
      </x:c>
      <x:c r="V144" s="17" t="n">
        <x:v>1</x:v>
      </x:c>
    </x:row>
    <x:row r="145" ht="20" customHeight="1">
      <x:c r="A145" s="17" t="str">
        <x:v>P0088</x:v>
      </x:c>
      <x:c r="B145" s="17" t="str">
        <x:v>Q03</x:v>
      </x:c>
      <x:c r="C145" s="17" t="str">
        <x:v>L02</x:v>
      </x:c>
      <x:c r="D145" s="21" t="n">
        <x:v>5</x:v>
      </x:c>
      <x:c r="E145" s="21" t="n">
        <x:v>15</x:v>
      </x:c>
      <x:c r="F145" s="17" t="str">
        <x:v>完整单产品班次</x:v>
      </x:c>
      <x:c r="G145" s="18" t="n">
        <x:v>33000</x:v>
      </x:c>
      <x:c r="H145" s="18" t="n">
        <x:v>33000</x:v>
      </x:c>
      <x:c r="I145" s="18" t="n">
        <x:v>33000</x:v>
      </x:c>
      <x:c r="J145" s="18" t="n">
        <x:v>33000</x:v>
      </x:c>
      <x:c r="K145" s="20" t="n">
        <x:v>0</x:v>
      </x:c>
      <x:c r="L145" s="19" t="n">
        <x:v>1</x:v>
      </x:c>
      <x:c r="M145" s="18" t="n">
        <x:v>33000</x:v>
      </x:c>
      <x:c r="N145" s="18" t="n">
        <x:v>33000</x:v>
      </x:c>
      <x:c r="O145" s="21" t="n">
        <x:v>15</x:v>
      </x:c>
      <x:c r="P145" s="20" t="n">
        <x:v>0.0872093023255814</x:v>
      </x:c>
      <x:c r="Q145" s="20" t="n">
        <x:v>0</x:v>
      </x:c>
      <x:c r="R145" s="20" t="n">
        <x:v>1</x:v>
      </x:c>
      <x:c r="S145" s="20" t="n">
        <x:v>1</x:v>
      </x:c>
      <x:c r="T145" s="20" t="n">
        <x:v>0</x:v>
      </x:c>
      <x:c r="U145" s="20" t="n">
        <x:v>0.4</x:v>
      </x:c>
      <x:c r="V145" s="17" t="n">
        <x:v>2</x:v>
      </x:c>
    </x:row>
    <x:row r="146" ht="20" customHeight="1">
      <x:c r="A146" s="17" t="str">
        <x:v>P0088</x:v>
      </x:c>
      <x:c r="B146" s="17" t="str">
        <x:v>Q03</x:v>
      </x:c>
      <x:c r="C146" s="17" t="str">
        <x:v>L03</x:v>
      </x:c>
      <x:c r="D146" s="21" t="n">
        <x:v>157</x:v>
      </x:c>
      <x:c r="E146" s="21" t="n">
        <x:v>157</x:v>
      </x:c>
      <x:c r="F146" s="17" t="str">
        <x:v>冲突或缺班次回退</x:v>
      </x:c>
      <x:c r="G146" s="18" t="n">
        <x:v>37992</x:v>
      </x:c>
      <x:c r="H146" s="18" t="n">
        <x:v>42000</x:v>
      </x:c>
      <x:c r="I146" s="18" t="n">
        <x:v>37992</x:v>
      </x:c>
      <x:c r="J146" s="18" t="n">
        <x:v>37992</x:v>
      </x:c>
      <x:c r="K146" s="20" t="n">
        <x:v>0.02471</x:v>
      </x:c>
      <x:c r="L146" s="19" t="n">
        <x:v>0.9410274774575405</x:v>
      </x:c>
      <x:c r="M146" s="18" t="n">
        <x:v>37992</x:v>
      </x:c>
      <x:c r="N146" s="18" t="n">
        <x:v>37992</x:v>
      </x:c>
      <x:c r="O146" s="21" t="n">
        <x:v>157</x:v>
      </x:c>
      <x:c r="P146" s="20" t="n">
        <x:v>0.9127906976744186</x:v>
      </x:c>
      <x:c r="Q146" s="20" t="n">
        <x:v>1</x:v>
      </x:c>
      <x:c r="R146" s="20" t="n">
        <x:v>0</x:v>
      </x:c>
      <x:c r="S146" s="20" t="n">
        <x:v>0</x:v>
      </x:c>
      <x:c r="T146" s="20" t="n">
        <x:v>1</x:v>
      </x:c>
      <x:c r="U146" s="20" t="n">
        <x:v>0.6000000000000001</x:v>
      </x:c>
      <x:c r="V146" s="17" t="n">
        <x:v>1</x:v>
      </x:c>
    </x:row>
    <x:row r="147" ht="20" customHeight="1">
      <x:c r="A147" s="17" t="str">
        <x:v>P0089</x:v>
      </x:c>
      <x:c r="B147" s="17" t="str">
        <x:v>Q06</x:v>
      </x:c>
      <x:c r="C147" s="17" t="str">
        <x:v>L07</x:v>
      </x:c>
      <x:c r="D147" s="21" t="n">
        <x:v>5</x:v>
      </x:c>
      <x:c r="E147" s="21" t="n">
        <x:v>7</x:v>
      </x:c>
      <x:c r="F147" s="17" t="str">
        <x:v>完整单产品班次</x:v>
      </x:c>
      <x:c r="G147" s="18" t="n">
        <x:v>10500</x:v>
      </x:c>
      <x:c r="H147" s="18" t="n">
        <x:v>21500</x:v>
      </x:c>
      <x:c r="I147" s="18" t="n">
        <x:v>10500</x:v>
      </x:c>
      <x:c r="J147" s="18" t="n">
        <x:v>10500</x:v>
      </x:c>
      <x:c r="K147" s="20" t="n">
        <x:v>0</x:v>
      </x:c>
      <x:c r="L147" s="19" t="n">
        <x:v>1</x:v>
      </x:c>
      <x:c r="M147" s="18" t="n">
        <x:v>10500</x:v>
      </x:c>
      <x:c r="N147" s="18" t="n">
        <x:v>10500</x:v>
      </x:c>
      <x:c r="O147" s="21" t="n">
        <x:v>7</x:v>
      </x:c>
      <x:c r="P147" s="20" t="n">
        <x:v>1</x:v>
      </x:c>
      <x:c r="Q147" s="20" t="n">
        <x:v>1</x:v>
      </x:c>
      <x:c r="R147" s="20" t="n">
        <x:v>1</x:v>
      </x:c>
      <x:c r="S147" s="20" t="n">
        <x:v>1</x:v>
      </x:c>
      <x:c r="T147" s="20" t="n">
        <x:v>1</x:v>
      </x:c>
      <x:c r="U147" s="20" t="n">
        <x:v>1</x:v>
      </x:c>
      <x:c r="V147" s="17" t="n">
        <x:v>1</x:v>
      </x:c>
    </x:row>
    <x:row r="148" ht="20" customHeight="1">
      <x:c r="A148" s="17" t="str">
        <x:v>P0090</x:v>
      </x:c>
      <x:c r="B148" s="17" t="str">
        <x:v>Q06</x:v>
      </x:c>
      <x:c r="C148" s="17" t="str">
        <x:v>L07</x:v>
      </x:c>
      <x:c r="D148" s="21" t="n">
        <x:v>6</x:v>
      </x:c>
      <x:c r="E148" s="21" t="n">
        <x:v>6</x:v>
      </x:c>
      <x:c r="F148" s="17" t="str">
        <x:v>冲突或缺班次回退</x:v>
      </x:c>
      <x:c r="G148" s="18" t="n">
        <x:v>21000</x:v>
      </x:c>
      <x:c r="H148" s="18" t="n">
        <x:v>21500</x:v>
      </x:c>
      <x:c r="I148" s="18" t="n">
        <x:v>21000</x:v>
      </x:c>
      <x:c r="J148" s="18" t="n">
        <x:v>21000</x:v>
      </x:c>
      <x:c r="K148" s="20" t="n">
        <x:v>0</x:v>
      </x:c>
      <x:c r="L148" s="19" t="n">
        <x:v>0.7453968253968254</x:v>
      </x:c>
      <x:c r="M148" s="18" t="n">
        <x:v>21000</x:v>
      </x:c>
      <x:c r="N148" s="18" t="n">
        <x:v>21000</x:v>
      </x:c>
      <x:c r="O148" s="21" t="n">
        <x:v>6</x:v>
      </x:c>
      <x:c r="P148" s="20" t="n">
        <x:v>1</x:v>
      </x:c>
      <x:c r="Q148" s="20" t="n">
        <x:v>1</x:v>
      </x:c>
      <x:c r="R148" s="20" t="n">
        <x:v>1</x:v>
      </x:c>
      <x:c r="S148" s="20" t="n">
        <x:v>1</x:v>
      </x:c>
      <x:c r="T148" s="20" t="n">
        <x:v>1</x:v>
      </x:c>
      <x:c r="U148" s="20" t="n">
        <x:v>1</x:v>
      </x:c>
      <x:c r="V148" s="17" t="n">
        <x:v>1</x:v>
      </x:c>
    </x:row>
    <x:row r="149" ht="20" customHeight="1">
      <x:c r="A149" s="17" t="str">
        <x:v>P0091</x:v>
      </x:c>
      <x:c r="B149" s="17" t="str">
        <x:v>Q03</x:v>
      </x:c>
      <x:c r="C149" s="17" t="str">
        <x:v>L04</x:v>
      </x:c>
      <x:c r="D149" s="21" t="n">
        <x:v>1</x:v>
      </x:c>
      <x:c r="E149" s="21" t="n">
        <x:v>1</x:v>
      </x:c>
      <x:c r="F149" s="17" t="str">
        <x:v>冲突或缺班次回退</x:v>
      </x:c>
      <x:c r="G149" s="18" t="n">
        <x:v>1</x:v>
      </x:c>
      <x:c r="H149" s="18" t="n">
        <x:v>15216</x:v>
      </x:c>
      <x:c r="I149" s="18" t="n">
        <x:v>1</x:v>
      </x:c>
      <x:c r="J149" s="18" t="n">
        <x:v>1</x:v>
      </x:c>
      <x:c r="K149" s="20" t="n">
        <x:v>0</x:v>
      </x:c>
      <x:c r="L149" s="19" t="n">
        <x:v>1</x:v>
      </x:c>
      <x:c r="M149" s="18" t="n">
        <x:v>1</x:v>
      </x:c>
      <x:c r="N149" s="18" t="n">
        <x:v>1</x:v>
      </x:c>
      <x:c r="O149" s="21" t="n">
        <x:v>1</x:v>
      </x:c>
      <x:c r="P149" s="20" t="n">
        <x:v>0.5</x:v>
      </x:c>
      <x:c r="Q149" s="20" t="n">
        <x:v>0</x:v>
      </x:c>
      <x:c r="R149" s="20" t="n">
        <x:v>1</x:v>
      </x:c>
      <x:c r="S149" s="20" t="n">
        <x:v>1</x:v>
      </x:c>
      <x:c r="T149" s="20" t="n">
        <x:v>1</x:v>
      </x:c>
      <x:c r="U149" s="20" t="n">
        <x:v>0.6000000000000001</x:v>
      </x:c>
      <x:c r="V149" s="17" t="n">
        <x:v>2</x:v>
      </x:c>
    </x:row>
    <x:row r="150" ht="20" customHeight="1">
      <x:c r="A150" s="17" t="str">
        <x:v>P0091</x:v>
      </x:c>
      <x:c r="B150" s="17" t="str">
        <x:v>Q03</x:v>
      </x:c>
      <x:c r="C150" s="17" t="str">
        <x:v>L09</x:v>
      </x:c>
      <x:c r="D150" s="21" t="n">
        <x:v>1</x:v>
      </x:c>
      <x:c r="E150" s="21" t="n">
        <x:v>1</x:v>
      </x:c>
      <x:c r="F150" s="17" t="str">
        <x:v>冲突或缺班次回退</x:v>
      </x:c>
      <x:c r="G150" s="18" t="n">
        <x:v>4</x:v>
      </x:c>
      <x:c r="H150" s="18" t="n">
        <x:v>19000</x:v>
      </x:c>
      <x:c r="I150" s="18" t="n">
        <x:v>4</x:v>
      </x:c>
      <x:c r="J150" s="18" t="n">
        <x:v>4</x:v>
      </x:c>
      <x:c r="K150" s="20" t="n">
        <x:v>0</x:v>
      </x:c>
      <x:c r="L150" s="19" t="n">
        <x:v>1</x:v>
      </x:c>
      <x:c r="M150" s="18" t="n">
        <x:v>4</x:v>
      </x:c>
      <x:c r="N150" s="18" t="n">
        <x:v>4</x:v>
      </x:c>
      <x:c r="O150" s="21" t="n">
        <x:v>1</x:v>
      </x:c>
      <x:c r="P150" s="20" t="n">
        <x:v>0.5</x:v>
      </x:c>
      <x:c r="Q150" s="20" t="n">
        <x:v>1</x:v>
      </x:c>
      <x:c r="R150" s="20" t="n">
        <x:v>1</x:v>
      </x:c>
      <x:c r="S150" s="20" t="n">
        <x:v>1</x:v>
      </x:c>
      <x:c r="T150" s="20" t="n">
        <x:v>1</x:v>
      </x:c>
      <x:c r="U150" s="20" t="n">
        <x:v>1</x:v>
      </x:c>
      <x:c r="V150" s="17" t="n">
        <x:v>1</x:v>
      </x:c>
    </x:row>
    <x:row r="151" ht="20" customHeight="1">
      <x:c r="A151" s="17" t="str">
        <x:v>P0092</x:v>
      </x:c>
      <x:c r="B151" s="17" t="str">
        <x:v>Q03</x:v>
      </x:c>
      <x:c r="C151" s="17" t="str">
        <x:v>L01</x:v>
      </x:c>
      <x:c r="D151" s="21" t="n">
        <x:v>1</x:v>
      </x:c>
      <x:c r="E151" s="21" t="n">
        <x:v>1</x:v>
      </x:c>
      <x:c r="F151" s="17" t="str">
        <x:v>完整单产品班次</x:v>
      </x:c>
      <x:c r="G151" s="18" t="n">
        <x:v>20000</x:v>
      </x:c>
      <x:c r="H151" s="18" t="n">
        <x:v>23000</x:v>
      </x:c>
      <x:c r="I151" s="18" t="n">
        <x:v>20000</x:v>
      </x:c>
      <x:c r="J151" s="18" t="n">
        <x:v>20000</x:v>
      </x:c>
      <x:c r="K151" s="20" t="n">
        <x:v>0</x:v>
      </x:c>
      <x:c r="L151" s="19" t="n">
        <x:v>1</x:v>
      </x:c>
      <x:c r="M151" s="18" t="n">
        <x:v>20000</x:v>
      </x:c>
      <x:c r="N151" s="18" t="n">
        <x:v>20000</x:v>
      </x:c>
      <x:c r="O151" s="21" t="n">
        <x:v>1</x:v>
      </x:c>
      <x:c r="P151" s="20" t="n">
        <x:v>1</x:v>
      </x:c>
      <x:c r="Q151" s="20" t="n">
        <x:v>1</x:v>
      </x:c>
      <x:c r="R151" s="20" t="n">
        <x:v>1</x:v>
      </x:c>
      <x:c r="S151" s="20" t="n">
        <x:v>1</x:v>
      </x:c>
      <x:c r="T151" s="20" t="n">
        <x:v>1</x:v>
      </x:c>
      <x:c r="U151" s="20" t="n">
        <x:v>1</x:v>
      </x:c>
      <x:c r="V151" s="17" t="n">
        <x:v>1</x:v>
      </x:c>
    </x:row>
    <x:row r="152" ht="20" customHeight="1">
      <x:c r="A152" s="17" t="str">
        <x:v>P0093</x:v>
      </x:c>
      <x:c r="B152" s="17" t="str">
        <x:v>Q03</x:v>
      </x:c>
      <x:c r="C152" s="17" t="str">
        <x:v>L01</x:v>
      </x:c>
      <x:c r="D152" s="21" t="n">
        <x:v>4</x:v>
      </x:c>
      <x:c r="E152" s="21" t="n">
        <x:v>6</x:v>
      </x:c>
      <x:c r="F152" s="17" t="str">
        <x:v>完整单产品班次</x:v>
      </x:c>
      <x:c r="G152" s="18" t="n">
        <x:v>21000</x:v>
      </x:c>
      <x:c r="H152" s="18" t="n">
        <x:v>23000</x:v>
      </x:c>
      <x:c r="I152" s="18" t="n">
        <x:v>21000</x:v>
      </x:c>
      <x:c r="J152" s="18" t="n">
        <x:v>21000</x:v>
      </x:c>
      <x:c r="K152" s="20" t="n">
        <x:v>0</x:v>
      </x:c>
      <x:c r="L152" s="19" t="n">
        <x:v>1</x:v>
      </x:c>
      <x:c r="M152" s="18" t="n">
        <x:v>21000</x:v>
      </x:c>
      <x:c r="N152" s="18" t="n">
        <x:v>21000</x:v>
      </x:c>
      <x:c r="O152" s="21" t="n">
        <x:v>6</x:v>
      </x:c>
      <x:c r="P152" s="20" t="n">
        <x:v>1</x:v>
      </x:c>
      <x:c r="Q152" s="20" t="n">
        <x:v>1</x:v>
      </x:c>
      <x:c r="R152" s="20" t="n">
        <x:v>1</x:v>
      </x:c>
      <x:c r="S152" s="20" t="n">
        <x:v>1</x:v>
      </x:c>
      <x:c r="T152" s="20" t="n">
        <x:v>1</x:v>
      </x:c>
      <x:c r="U152" s="20" t="n">
        <x:v>1</x:v>
      </x:c>
      <x:c r="V152" s="17" t="n">
        <x:v>1</x:v>
      </x:c>
    </x:row>
    <x:row r="153" ht="20" customHeight="1">
      <x:c r="A153" s="17" t="str">
        <x:v>P0094</x:v>
      </x:c>
      <x:c r="B153" s="17" t="str">
        <x:v>Q03</x:v>
      </x:c>
      <x:c r="C153" s="17" t="str">
        <x:v>L02</x:v>
      </x:c>
      <x:c r="D153" s="21" t="n">
        <x:v>3</x:v>
      </x:c>
      <x:c r="E153" s="21" t="n">
        <x:v>5</x:v>
      </x:c>
      <x:c r="F153" s="17" t="str">
        <x:v>完整单产品班次</x:v>
      </x:c>
      <x:c r="G153" s="18" t="n">
        <x:v>21240</x:v>
      </x:c>
      <x:c r="H153" s="18" t="n">
        <x:v>33000</x:v>
      </x:c>
      <x:c r="I153" s="18" t="n">
        <x:v>21240</x:v>
      </x:c>
      <x:c r="J153" s="18" t="n">
        <x:v>21240</x:v>
      </x:c>
      <x:c r="K153" s="20" t="n">
        <x:v>0</x:v>
      </x:c>
      <x:c r="L153" s="19" t="n">
        <x:v>0.9052102950408035</x:v>
      </x:c>
      <x:c r="M153" s="18" t="n">
        <x:v>15200</x:v>
      </x:c>
      <x:c r="N153" s="18" t="n">
        <x:v>21240</x:v>
      </x:c>
      <x:c r="O153" s="21" t="n">
        <x:v>5</x:v>
      </x:c>
      <x:c r="P153" s="20" t="n">
        <x:v>1</x:v>
      </x:c>
      <x:c r="Q153" s="20" t="n">
        <x:v>1</x:v>
      </x:c>
      <x:c r="R153" s="20" t="n">
        <x:v>1</x:v>
      </x:c>
      <x:c r="S153" s="20" t="n">
        <x:v>1</x:v>
      </x:c>
      <x:c r="T153" s="20" t="n">
        <x:v>1</x:v>
      </x:c>
      <x:c r="U153" s="20" t="n">
        <x:v>1</x:v>
      </x:c>
      <x:c r="V153" s="17" t="n">
        <x:v>1</x:v>
      </x:c>
    </x:row>
    <x:row r="154" ht="20" customHeight="1">
      <x:c r="A154" s="17" t="str">
        <x:v>P0095</x:v>
      </x:c>
      <x:c r="B154" s="17" t="str">
        <x:v>Q03</x:v>
      </x:c>
      <x:c r="C154" s="17" t="str">
        <x:v>L02</x:v>
      </x:c>
      <x:c r="D154" s="21" t="n">
        <x:v>3</x:v>
      </x:c>
      <x:c r="E154" s="21" t="n">
        <x:v>5</x:v>
      </x:c>
      <x:c r="F154" s="17" t="str">
        <x:v>完整单产品班次</x:v>
      </x:c>
      <x:c r="G154" s="18" t="n">
        <x:v>14160</x:v>
      </x:c>
      <x:c r="H154" s="18" t="n">
        <x:v>33000</x:v>
      </x:c>
      <x:c r="I154" s="18" t="n">
        <x:v>14160</x:v>
      </x:c>
      <x:c r="J154" s="18" t="n">
        <x:v>14160</x:v>
      </x:c>
      <x:c r="K154" s="20" t="n">
        <x:v>0</x:v>
      </x:c>
      <x:c r="L154" s="19" t="n">
        <x:v>1</x:v>
      </x:c>
      <x:c r="M154" s="18" t="n">
        <x:v>14160</x:v>
      </x:c>
      <x:c r="N154" s="18" t="n">
        <x:v>14160</x:v>
      </x:c>
      <x:c r="O154" s="21" t="n">
        <x:v>5</x:v>
      </x:c>
      <x:c r="P154" s="20" t="n">
        <x:v>1</x:v>
      </x:c>
      <x:c r="Q154" s="20" t="n">
        <x:v>1</x:v>
      </x:c>
      <x:c r="R154" s="20" t="n">
        <x:v>1</x:v>
      </x:c>
      <x:c r="S154" s="20" t="n">
        <x:v>1</x:v>
      </x:c>
      <x:c r="T154" s="20" t="n">
        <x:v>1</x:v>
      </x:c>
      <x:c r="U154" s="20" t="n">
        <x:v>1</x:v>
      </x:c>
      <x:c r="V154" s="17" t="n">
        <x:v>1</x:v>
      </x:c>
    </x:row>
    <x:row r="155" ht="20" customHeight="1">
      <x:c r="A155" s="17" t="str">
        <x:v>P0096</x:v>
      </x:c>
      <x:c r="B155" s="17" t="str">
        <x:v>Q03</x:v>
      </x:c>
      <x:c r="C155" s="17" t="str">
        <x:v>L02</x:v>
      </x:c>
      <x:c r="D155" s="21" t="n">
        <x:v>3</x:v>
      </x:c>
      <x:c r="E155" s="21" t="n">
        <x:v>4</x:v>
      </x:c>
      <x:c r="F155" s="17" t="str">
        <x:v>完整单产品班次</x:v>
      </x:c>
      <x:c r="G155" s="18" t="n">
        <x:v>14160</x:v>
      </x:c>
      <x:c r="H155" s="18" t="n">
        <x:v>33000</x:v>
      </x:c>
      <x:c r="I155" s="18" t="n">
        <x:v>14160</x:v>
      </x:c>
      <x:c r="J155" s="18" t="n">
        <x:v>14160</x:v>
      </x:c>
      <x:c r="K155" s="20" t="n">
        <x:v>0</x:v>
      </x:c>
      <x:c r="L155" s="19" t="n">
        <x:v>1</x:v>
      </x:c>
      <x:c r="M155" s="18" t="n">
        <x:v>14160</x:v>
      </x:c>
      <x:c r="N155" s="18" t="n">
        <x:v>14160</x:v>
      </x:c>
      <x:c r="O155" s="21" t="n">
        <x:v>4</x:v>
      </x:c>
      <x:c r="P155" s="20" t="n">
        <x:v>1</x:v>
      </x:c>
      <x:c r="Q155" s="20" t="n">
        <x:v>1</x:v>
      </x:c>
      <x:c r="R155" s="20" t="n">
        <x:v>1</x:v>
      </x:c>
      <x:c r="S155" s="20" t="n">
        <x:v>1</x:v>
      </x:c>
      <x:c r="T155" s="20" t="n">
        <x:v>1</x:v>
      </x:c>
      <x:c r="U155" s="20" t="n">
        <x:v>1</x:v>
      </x:c>
      <x:c r="V155" s="17" t="n">
        <x:v>1</x:v>
      </x:c>
    </x:row>
    <x:row r="156" ht="20" customHeight="1">
      <x:c r="A156" s="17" t="str">
        <x:v>P0097</x:v>
      </x:c>
      <x:c r="B156" s="17" t="str">
        <x:v>Q03</x:v>
      </x:c>
      <x:c r="C156" s="17" t="str">
        <x:v>L02</x:v>
      </x:c>
      <x:c r="D156" s="21" t="n">
        <x:v>3</x:v>
      </x:c>
      <x:c r="E156" s="21" t="n">
        <x:v>3</x:v>
      </x:c>
      <x:c r="F156" s="17" t="str">
        <x:v>完整单产品班次</x:v>
      </x:c>
      <x:c r="G156" s="18" t="n">
        <x:v>14160</x:v>
      </x:c>
      <x:c r="H156" s="18" t="n">
        <x:v>33000</x:v>
      </x:c>
      <x:c r="I156" s="18" t="n">
        <x:v>14160</x:v>
      </x:c>
      <x:c r="J156" s="18" t="n">
        <x:v>14160</x:v>
      </x:c>
      <x:c r="K156" s="20" t="n">
        <x:v>0</x:v>
      </x:c>
      <x:c r="L156" s="19" t="n">
        <x:v>1</x:v>
      </x:c>
      <x:c r="M156" s="18" t="n">
        <x:v>14160</x:v>
      </x:c>
      <x:c r="N156" s="18" t="n">
        <x:v>14160</x:v>
      </x:c>
      <x:c r="O156" s="21" t="n">
        <x:v>3</x:v>
      </x:c>
      <x:c r="P156" s="20" t="n">
        <x:v>1</x:v>
      </x:c>
      <x:c r="Q156" s="20" t="n">
        <x:v>1</x:v>
      </x:c>
      <x:c r="R156" s="20" t="n">
        <x:v>1</x:v>
      </x:c>
      <x:c r="S156" s="20" t="n">
        <x:v>1</x:v>
      </x:c>
      <x:c r="T156" s="20" t="n">
        <x:v>1</x:v>
      </x:c>
      <x:c r="U156" s="20" t="n">
        <x:v>1</x:v>
      </x:c>
      <x:c r="V156" s="17" t="n">
        <x:v>1</x:v>
      </x:c>
    </x:row>
    <x:row r="157" ht="20" customHeight="1">
      <x:c r="A157" s="17" t="str">
        <x:v>P0098</x:v>
      </x:c>
      <x:c r="B157" s="17" t="str">
        <x:v>Q03</x:v>
      </x:c>
      <x:c r="C157" s="17" t="str">
        <x:v>L02</x:v>
      </x:c>
      <x:c r="D157" s="21" t="n">
        <x:v>3</x:v>
      </x:c>
      <x:c r="E157" s="21" t="n">
        <x:v>4</x:v>
      </x:c>
      <x:c r="F157" s="17" t="str">
        <x:v>完整单产品班次</x:v>
      </x:c>
      <x:c r="G157" s="18" t="n">
        <x:v>14160</x:v>
      </x:c>
      <x:c r="H157" s="18" t="n">
        <x:v>33000</x:v>
      </x:c>
      <x:c r="I157" s="18" t="n">
        <x:v>14160</x:v>
      </x:c>
      <x:c r="J157" s="18" t="n">
        <x:v>14160</x:v>
      </x:c>
      <x:c r="K157" s="20" t="n">
        <x:v>0</x:v>
      </x:c>
      <x:c r="L157" s="19" t="n">
        <x:v>1</x:v>
      </x:c>
      <x:c r="M157" s="18" t="n">
        <x:v>14160</x:v>
      </x:c>
      <x:c r="N157" s="18" t="n">
        <x:v>14160</x:v>
      </x:c>
      <x:c r="O157" s="21" t="n">
        <x:v>4</x:v>
      </x:c>
      <x:c r="P157" s="20" t="n">
        <x:v>1</x:v>
      </x:c>
      <x:c r="Q157" s="20" t="n">
        <x:v>1</x:v>
      </x:c>
      <x:c r="R157" s="20" t="n">
        <x:v>1</x:v>
      </x:c>
      <x:c r="S157" s="20" t="n">
        <x:v>1</x:v>
      </x:c>
      <x:c r="T157" s="20" t="n">
        <x:v>1</x:v>
      </x:c>
      <x:c r="U157" s="20" t="n">
        <x:v>1</x:v>
      </x:c>
      <x:c r="V157" s="17" t="n">
        <x:v>1</x:v>
      </x:c>
    </x:row>
    <x:row r="158" ht="20" customHeight="1">
      <x:c r="A158" s="17" t="str">
        <x:v>P0099</x:v>
      </x:c>
      <x:c r="B158" s="17" t="str">
        <x:v>Q03</x:v>
      </x:c>
      <x:c r="C158" s="17" t="str">
        <x:v>L02</x:v>
      </x:c>
      <x:c r="D158" s="21" t="n">
        <x:v>3</x:v>
      </x:c>
      <x:c r="E158" s="21" t="n">
        <x:v>3</x:v>
      </x:c>
      <x:c r="F158" s="17" t="str">
        <x:v>完整单产品班次</x:v>
      </x:c>
      <x:c r="G158" s="18" t="n">
        <x:v>14160</x:v>
      </x:c>
      <x:c r="H158" s="18" t="n">
        <x:v>33000</x:v>
      </x:c>
      <x:c r="I158" s="18" t="n">
        <x:v>14160</x:v>
      </x:c>
      <x:c r="J158" s="18" t="n">
        <x:v>14160</x:v>
      </x:c>
      <x:c r="K158" s="20" t="n">
        <x:v>0</x:v>
      </x:c>
      <x:c r="L158" s="19" t="n">
        <x:v>1</x:v>
      </x:c>
      <x:c r="M158" s="18" t="n">
        <x:v>14160</x:v>
      </x:c>
      <x:c r="N158" s="18" t="n">
        <x:v>14160</x:v>
      </x:c>
      <x:c r="O158" s="21" t="n">
        <x:v>3</x:v>
      </x:c>
      <x:c r="P158" s="20" t="n">
        <x:v>1</x:v>
      </x:c>
      <x:c r="Q158" s="20" t="n">
        <x:v>1</x:v>
      </x:c>
      <x:c r="R158" s="20" t="n">
        <x:v>1</x:v>
      </x:c>
      <x:c r="S158" s="20" t="n">
        <x:v>1</x:v>
      </x:c>
      <x:c r="T158" s="20" t="n">
        <x:v>1</x:v>
      </x:c>
      <x:c r="U158" s="20" t="n">
        <x:v>1</x:v>
      </x:c>
      <x:c r="V158" s="17" t="n">
        <x:v>1</x:v>
      </x:c>
    </x:row>
    <x:row r="159" ht="20" customHeight="1">
      <x:c r="A159" s="17" t="str">
        <x:v>P0100</x:v>
      </x:c>
      <x:c r="B159" s="17" t="str">
        <x:v>Q03</x:v>
      </x:c>
      <x:c r="C159" s="17" t="str">
        <x:v>L13</x:v>
      </x:c>
      <x:c r="D159" s="21" t="n">
        <x:v>3</x:v>
      </x:c>
      <x:c r="E159" s="21" t="n">
        <x:v>6</x:v>
      </x:c>
      <x:c r="F159" s="17" t="str">
        <x:v>完整单产品班次</x:v>
      </x:c>
      <x:c r="G159" s="18" t="n">
        <x:v>14160</x:v>
      </x:c>
      <x:c r="H159" s="18" t="n">
        <x:v>14160</x:v>
      </x:c>
      <x:c r="I159" s="18" t="n">
        <x:v>14160</x:v>
      </x:c>
      <x:c r="J159" s="18" t="n">
        <x:v>14160</x:v>
      </x:c>
      <x:c r="K159" s="20" t="n">
        <x:v>0</x:v>
      </x:c>
      <x:c r="L159" s="19" t="n">
        <x:v>1</x:v>
      </x:c>
      <x:c r="M159" s="18" t="n">
        <x:v>14160</x:v>
      </x:c>
      <x:c r="N159" s="18" t="n">
        <x:v>14160</x:v>
      </x:c>
      <x:c r="O159" s="21" t="n">
        <x:v>6</x:v>
      </x:c>
      <x:c r="P159" s="20" t="n">
        <x:v>1</x:v>
      </x:c>
      <x:c r="Q159" s="20" t="n">
        <x:v>1</x:v>
      </x:c>
      <x:c r="R159" s="20" t="n">
        <x:v>1</x:v>
      </x:c>
      <x:c r="S159" s="20" t="n">
        <x:v>1</x:v>
      </x:c>
      <x:c r="T159" s="20" t="n">
        <x:v>1</x:v>
      </x:c>
      <x:c r="U159" s="20" t="n">
        <x:v>1</x:v>
      </x:c>
      <x:c r="V159" s="17" t="n">
        <x:v>1</x:v>
      </x:c>
    </x:row>
    <x:row r="160" ht="20" customHeight="1">
      <x:c r="A160" s="17" t="str">
        <x:v>P0101</x:v>
      </x:c>
      <x:c r="B160" s="17" t="str">
        <x:v>Q03</x:v>
      </x:c>
      <x:c r="C160" s="17" t="str">
        <x:v>L13</x:v>
      </x:c>
      <x:c r="D160" s="21" t="n">
        <x:v>3</x:v>
      </x:c>
      <x:c r="E160" s="21" t="n">
        <x:v>3</x:v>
      </x:c>
      <x:c r="F160" s="17" t="str">
        <x:v>完整单产品班次</x:v>
      </x:c>
      <x:c r="G160" s="18" t="n">
        <x:v>14160</x:v>
      </x:c>
      <x:c r="H160" s="18" t="n">
        <x:v>14160</x:v>
      </x:c>
      <x:c r="I160" s="18" t="n">
        <x:v>14160</x:v>
      </x:c>
      <x:c r="J160" s="18" t="n">
        <x:v>14160</x:v>
      </x:c>
      <x:c r="K160" s="20" t="n">
        <x:v>0</x:v>
      </x:c>
      <x:c r="L160" s="19" t="n">
        <x:v>1</x:v>
      </x:c>
      <x:c r="M160" s="18" t="n">
        <x:v>14160</x:v>
      </x:c>
      <x:c r="N160" s="18" t="n">
        <x:v>14160</x:v>
      </x:c>
      <x:c r="O160" s="21" t="n">
        <x:v>3</x:v>
      </x:c>
      <x:c r="P160" s="20" t="n">
        <x:v>1</x:v>
      </x:c>
      <x:c r="Q160" s="20" t="n">
        <x:v>1</x:v>
      </x:c>
      <x:c r="R160" s="20" t="n">
        <x:v>1</x:v>
      </x:c>
      <x:c r="S160" s="20" t="n">
        <x:v>1</x:v>
      </x:c>
      <x:c r="T160" s="20" t="n">
        <x:v>1</x:v>
      </x:c>
      <x:c r="U160" s="20" t="n">
        <x:v>1</x:v>
      </x:c>
      <x:c r="V160" s="17" t="n">
        <x:v>1</x:v>
      </x:c>
    </x:row>
    <x:row r="161" ht="20" customHeight="1">
      <x:c r="A161" s="17" t="str">
        <x:v>P0102</x:v>
      </x:c>
      <x:c r="B161" s="17" t="str">
        <x:v>Q03</x:v>
      </x:c>
      <x:c r="C161" s="17" t="str">
        <x:v>L13</x:v>
      </x:c>
      <x:c r="D161" s="21" t="n">
        <x:v>3</x:v>
      </x:c>
      <x:c r="E161" s="21" t="n">
        <x:v>3</x:v>
      </x:c>
      <x:c r="F161" s="17" t="str">
        <x:v>完整单产品班次</x:v>
      </x:c>
      <x:c r="G161" s="18" t="n">
        <x:v>14160</x:v>
      </x:c>
      <x:c r="H161" s="18" t="n">
        <x:v>14160</x:v>
      </x:c>
      <x:c r="I161" s="18" t="n">
        <x:v>14160</x:v>
      </x:c>
      <x:c r="J161" s="18" t="n">
        <x:v>14160</x:v>
      </x:c>
      <x:c r="K161" s="20" t="n">
        <x:v>0</x:v>
      </x:c>
      <x:c r="L161" s="19" t="n">
        <x:v>1</x:v>
      </x:c>
      <x:c r="M161" s="18" t="n">
        <x:v>14160</x:v>
      </x:c>
      <x:c r="N161" s="18" t="n">
        <x:v>14160</x:v>
      </x:c>
      <x:c r="O161" s="21" t="n">
        <x:v>3</x:v>
      </x:c>
      <x:c r="P161" s="20" t="n">
        <x:v>1</x:v>
      </x:c>
      <x:c r="Q161" s="20" t="n">
        <x:v>1</x:v>
      </x:c>
      <x:c r="R161" s="20" t="n">
        <x:v>1</x:v>
      </x:c>
      <x:c r="S161" s="20" t="n">
        <x:v>1</x:v>
      </x:c>
      <x:c r="T161" s="20" t="n">
        <x:v>1</x:v>
      </x:c>
      <x:c r="U161" s="20" t="n">
        <x:v>1</x:v>
      </x:c>
      <x:c r="V161" s="17" t="n">
        <x:v>1</x:v>
      </x:c>
    </x:row>
    <x:row r="162" ht="20" customHeight="1">
      <x:c r="A162" s="17" t="str">
        <x:v>P0103</x:v>
      </x:c>
      <x:c r="B162" s="17" t="str">
        <x:v>Q03</x:v>
      </x:c>
      <x:c r="C162" s="17" t="str">
        <x:v>L13</x:v>
      </x:c>
      <x:c r="D162" s="21" t="n">
        <x:v>3</x:v>
      </x:c>
      <x:c r="E162" s="21" t="n">
        <x:v>3</x:v>
      </x:c>
      <x:c r="F162" s="17" t="str">
        <x:v>完整单产品班次</x:v>
      </x:c>
      <x:c r="G162" s="18" t="n">
        <x:v>14160</x:v>
      </x:c>
      <x:c r="H162" s="18" t="n">
        <x:v>14160</x:v>
      </x:c>
      <x:c r="I162" s="18" t="n">
        <x:v>14160</x:v>
      </x:c>
      <x:c r="J162" s="18" t="n">
        <x:v>14160</x:v>
      </x:c>
      <x:c r="K162" s="20" t="n">
        <x:v>0</x:v>
      </x:c>
      <x:c r="L162" s="19" t="n">
        <x:v>1</x:v>
      </x:c>
      <x:c r="M162" s="18" t="n">
        <x:v>14160</x:v>
      </x:c>
      <x:c r="N162" s="18" t="n">
        <x:v>14160</x:v>
      </x:c>
      <x:c r="O162" s="21" t="n">
        <x:v>3</x:v>
      </x:c>
      <x:c r="P162" s="20" t="n">
        <x:v>1</x:v>
      </x:c>
      <x:c r="Q162" s="20" t="n">
        <x:v>1</x:v>
      </x:c>
      <x:c r="R162" s="20" t="n">
        <x:v>1</x:v>
      </x:c>
      <x:c r="S162" s="20" t="n">
        <x:v>1</x:v>
      </x:c>
      <x:c r="T162" s="20" t="n">
        <x:v>1</x:v>
      </x:c>
      <x:c r="U162" s="20" t="n">
        <x:v>1</x:v>
      </x:c>
      <x:c r="V162" s="17" t="n">
        <x:v>1</x:v>
      </x:c>
    </x:row>
    <x:row r="163" ht="20" customHeight="1">
      <x:c r="A163" s="17" t="str">
        <x:v>P0104</x:v>
      </x:c>
      <x:c r="B163" s="17" t="str">
        <x:v>Q03</x:v>
      </x:c>
      <x:c r="C163" s="17" t="str">
        <x:v>L13</x:v>
      </x:c>
      <x:c r="D163" s="21" t="n">
        <x:v>3</x:v>
      </x:c>
      <x:c r="E163" s="21" t="n">
        <x:v>3</x:v>
      </x:c>
      <x:c r="F163" s="17" t="str">
        <x:v>完整单产品班次</x:v>
      </x:c>
      <x:c r="G163" s="18" t="n">
        <x:v>14160</x:v>
      </x:c>
      <x:c r="H163" s="18" t="n">
        <x:v>14160</x:v>
      </x:c>
      <x:c r="I163" s="18" t="n">
        <x:v>14160</x:v>
      </x:c>
      <x:c r="J163" s="18" t="n">
        <x:v>14160</x:v>
      </x:c>
      <x:c r="K163" s="20" t="n">
        <x:v>0</x:v>
      </x:c>
      <x:c r="L163" s="19" t="n">
        <x:v>1</x:v>
      </x:c>
      <x:c r="M163" s="18" t="n">
        <x:v>14160</x:v>
      </x:c>
      <x:c r="N163" s="18" t="n">
        <x:v>14160</x:v>
      </x:c>
      <x:c r="O163" s="21" t="n">
        <x:v>3</x:v>
      </x:c>
      <x:c r="P163" s="20" t="n">
        <x:v>1</x:v>
      </x:c>
      <x:c r="Q163" s="20" t="n">
        <x:v>1</x:v>
      </x:c>
      <x:c r="R163" s="20" t="n">
        <x:v>1</x:v>
      </x:c>
      <x:c r="S163" s="20" t="n">
        <x:v>1</x:v>
      </x:c>
      <x:c r="T163" s="20" t="n">
        <x:v>1</x:v>
      </x:c>
      <x:c r="U163" s="20" t="n">
        <x:v>1</x:v>
      </x:c>
      <x:c r="V163" s="17" t="n">
        <x:v>1</x:v>
      </x:c>
    </x:row>
    <x:row r="164" ht="20" customHeight="1">
      <x:c r="A164" s="17" t="str">
        <x:v>P0105</x:v>
      </x:c>
      <x:c r="B164" s="17" t="str">
        <x:v>Q03</x:v>
      </x:c>
      <x:c r="C164" s="17" t="str">
        <x:v>L13</x:v>
      </x:c>
      <x:c r="D164" s="21" t="n">
        <x:v>3</x:v>
      </x:c>
      <x:c r="E164" s="21" t="n">
        <x:v>3</x:v>
      </x:c>
      <x:c r="F164" s="17" t="str">
        <x:v>完整单产品班次</x:v>
      </x:c>
      <x:c r="G164" s="18" t="n">
        <x:v>14160</x:v>
      </x:c>
      <x:c r="H164" s="18" t="n">
        <x:v>14160</x:v>
      </x:c>
      <x:c r="I164" s="18" t="n">
        <x:v>14160</x:v>
      </x:c>
      <x:c r="J164" s="18" t="n">
        <x:v>14160</x:v>
      </x:c>
      <x:c r="K164" s="20" t="n">
        <x:v>0</x:v>
      </x:c>
      <x:c r="L164" s="19" t="n">
        <x:v>1</x:v>
      </x:c>
      <x:c r="M164" s="18" t="n">
        <x:v>14160</x:v>
      </x:c>
      <x:c r="N164" s="18" t="n">
        <x:v>14160</x:v>
      </x:c>
      <x:c r="O164" s="21" t="n">
        <x:v>3</x:v>
      </x:c>
      <x:c r="P164" s="20" t="n">
        <x:v>1</x:v>
      </x:c>
      <x:c r="Q164" s="20" t="n">
        <x:v>1</x:v>
      </x:c>
      <x:c r="R164" s="20" t="n">
        <x:v>1</x:v>
      </x:c>
      <x:c r="S164" s="20" t="n">
        <x:v>1</x:v>
      </x:c>
      <x:c r="T164" s="20" t="n">
        <x:v>1</x:v>
      </x:c>
      <x:c r="U164" s="20" t="n">
        <x:v>1</x:v>
      </x:c>
      <x:c r="V164" s="17" t="n">
        <x:v>1</x:v>
      </x:c>
    </x:row>
    <x:row r="165" ht="20" customHeight="1">
      <x:c r="A165" s="17" t="str">
        <x:v>P0106</x:v>
      </x:c>
      <x:c r="B165" s="17" t="str">
        <x:v>Q03</x:v>
      </x:c>
      <x:c r="C165" s="17" t="str">
        <x:v>L01</x:v>
      </x:c>
      <x:c r="D165" s="21" t="n">
        <x:v>10</x:v>
      </x:c>
      <x:c r="E165" s="21" t="n">
        <x:v>13</x:v>
      </x:c>
      <x:c r="F165" s="17" t="str">
        <x:v>完整单产品班次</x:v>
      </x:c>
      <x:c r="G165" s="18" t="n">
        <x:v>21000</x:v>
      </x:c>
      <x:c r="H165" s="18" t="n">
        <x:v>23000</x:v>
      </x:c>
      <x:c r="I165" s="18" t="n">
        <x:v>21000</x:v>
      </x:c>
      <x:c r="J165" s="18" t="n">
        <x:v>21000</x:v>
      </x:c>
      <x:c r="K165" s="20" t="n">
        <x:v>0</x:v>
      </x:c>
      <x:c r="L165" s="19" t="n">
        <x:v>1</x:v>
      </x:c>
      <x:c r="M165" s="18" t="n">
        <x:v>21000</x:v>
      </x:c>
      <x:c r="N165" s="18" t="n">
        <x:v>21000</x:v>
      </x:c>
      <x:c r="O165" s="21" t="n">
        <x:v>13</x:v>
      </x:c>
      <x:c r="P165" s="20" t="n">
        <x:v>1</x:v>
      </x:c>
      <x:c r="Q165" s="20" t="n">
        <x:v>1</x:v>
      </x:c>
      <x:c r="R165" s="20" t="n">
        <x:v>1</x:v>
      </x:c>
      <x:c r="S165" s="20" t="n">
        <x:v>1</x:v>
      </x:c>
      <x:c r="T165" s="20" t="n">
        <x:v>1</x:v>
      </x:c>
      <x:c r="U165" s="20" t="n">
        <x:v>1</x:v>
      </x:c>
      <x:c r="V165" s="17" t="n">
        <x:v>1</x:v>
      </x:c>
    </x:row>
    <x:row r="166" ht="20" customHeight="1">
      <x:c r="A166" s="17" t="str">
        <x:v>P0107</x:v>
      </x:c>
      <x:c r="B166" s="17" t="str">
        <x:v>Q03</x:v>
      </x:c>
      <x:c r="C166" s="17" t="str">
        <x:v>L01</x:v>
      </x:c>
      <x:c r="D166" s="21" t="n">
        <x:v>15</x:v>
      </x:c>
      <x:c r="E166" s="21" t="n">
        <x:v>18</x:v>
      </x:c>
      <x:c r="F166" s="17" t="str">
        <x:v>完整单产品班次</x:v>
      </x:c>
      <x:c r="G166" s="18" t="n">
        <x:v>21336</x:v>
      </x:c>
      <x:c r="H166" s="18" t="n">
        <x:v>23000</x:v>
      </x:c>
      <x:c r="I166" s="18" t="n">
        <x:v>21336</x:v>
      </x:c>
      <x:c r="J166" s="18" t="n">
        <x:v>21336</x:v>
      </x:c>
      <x:c r="K166" s="20" t="n">
        <x:v>0</x:v>
      </x:c>
      <x:c r="L166" s="19" t="n">
        <x:v>0.994750656167979</x:v>
      </x:c>
      <x:c r="M166" s="18" t="n">
        <x:v>21336</x:v>
      </x:c>
      <x:c r="N166" s="18" t="n">
        <x:v>21336</x:v>
      </x:c>
      <x:c r="O166" s="21" t="n">
        <x:v>18</x:v>
      </x:c>
      <x:c r="P166" s="20" t="n">
        <x:v>1</x:v>
      </x:c>
      <x:c r="Q166" s="20" t="n">
        <x:v>1</x:v>
      </x:c>
      <x:c r="R166" s="20" t="n">
        <x:v>1</x:v>
      </x:c>
      <x:c r="S166" s="20" t="n">
        <x:v>1</x:v>
      </x:c>
      <x:c r="T166" s="20" t="n">
        <x:v>1</x:v>
      </x:c>
      <x:c r="U166" s="20" t="n">
        <x:v>1</x:v>
      </x:c>
      <x:c r="V166" s="17" t="n">
        <x:v>1</x:v>
      </x:c>
    </x:row>
    <x:row r="167" ht="20" customHeight="1">
      <x:c r="A167" s="17" t="str">
        <x:v>P0108</x:v>
      </x:c>
      <x:c r="B167" s="17" t="str">
        <x:v>Q05</x:v>
      </x:c>
      <x:c r="C167" s="17" t="str">
        <x:v>L06</x:v>
      </x:c>
      <x:c r="D167" s="21" t="n">
        <x:v>1</x:v>
      </x:c>
      <x:c r="E167" s="21" t="n">
        <x:v>1</x:v>
      </x:c>
      <x:c r="F167" s="17" t="str">
        <x:v>完整单产品班次</x:v>
      </x:c>
      <x:c r="G167" s="18" t="n">
        <x:v>1000</x:v>
      </x:c>
      <x:c r="H167" s="18" t="n">
        <x:v>7492.499999999989</x:v>
      </x:c>
      <x:c r="I167" s="18" t="n">
        <x:v>1000</x:v>
      </x:c>
      <x:c r="J167" s="18" t="n">
        <x:v>1000</x:v>
      </x:c>
      <x:c r="K167" s="20" t="n">
        <x:v>0</x:v>
      </x:c>
      <x:c r="L167" s="19" t="n">
        <x:v>1</x:v>
      </x:c>
      <x:c r="M167" s="18" t="n">
        <x:v>1000</x:v>
      </x:c>
      <x:c r="N167" s="18" t="n">
        <x:v>1000</x:v>
      </x:c>
      <x:c r="O167" s="21" t="n">
        <x:v>1</x:v>
      </x:c>
      <x:c r="P167" s="20" t="n">
        <x:v>1</x:v>
      </x:c>
      <x:c r="Q167" s="20" t="n">
        <x:v>1</x:v>
      </x:c>
      <x:c r="R167" s="20" t="n">
        <x:v>1</x:v>
      </x:c>
      <x:c r="S167" s="20" t="n">
        <x:v>1</x:v>
      </x:c>
      <x:c r="T167" s="20" t="n">
        <x:v>1</x:v>
      </x:c>
      <x:c r="U167" s="20" t="n">
        <x:v>1</x:v>
      </x:c>
      <x:c r="V167" s="17" t="n">
        <x:v>1</x:v>
      </x:c>
    </x:row>
    <x:row r="168" ht="20" customHeight="1">
      <x:c r="A168" s="17" t="str">
        <x:v>P0109</x:v>
      </x:c>
      <x:c r="B168" s="17" t="str">
        <x:v>Q11</x:v>
      </x:c>
      <x:c r="C168" s="17" t="str">
        <x:v>L05</x:v>
      </x:c>
      <x:c r="D168" s="21" t="n">
        <x:v>1</x:v>
      </x:c>
      <x:c r="E168" s="21" t="n">
        <x:v>2</x:v>
      </x:c>
      <x:c r="F168" s="17" t="str">
        <x:v>完整单产品班次</x:v>
      </x:c>
      <x:c r="G168" s="18" t="n">
        <x:v>6666</x:v>
      </x:c>
      <x:c r="H168" s="18" t="n">
        <x:v>6666</x:v>
      </x:c>
      <x:c r="I168" s="18" t="n">
        <x:v>6666</x:v>
      </x:c>
      <x:c r="J168" s="18" t="n">
        <x:v>6666</x:v>
      </x:c>
      <x:c r="K168" s="20" t="n">
        <x:v>0</x:v>
      </x:c>
      <x:c r="L168" s="19" t="n">
        <x:v>1</x:v>
      </x:c>
      <x:c r="M168" s="18" t="n">
        <x:v>6666</x:v>
      </x:c>
      <x:c r="N168" s="18" t="n">
        <x:v>6666</x:v>
      </x:c>
      <x:c r="O168" s="21" t="n">
        <x:v>2</x:v>
      </x:c>
      <x:c r="P168" s="20" t="n">
        <x:v>1</x:v>
      </x:c>
      <x:c r="Q168" s="20" t="n">
        <x:v>1</x:v>
      </x:c>
      <x:c r="R168" s="20" t="n">
        <x:v>1</x:v>
      </x:c>
      <x:c r="S168" s="20" t="n">
        <x:v>1</x:v>
      </x:c>
      <x:c r="T168" s="20" t="n">
        <x:v>1</x:v>
      </x:c>
      <x:c r="U168" s="20" t="n">
        <x:v>1</x:v>
      </x:c>
      <x:c r="V168" s="17" t="n">
        <x:v>1</x:v>
      </x:c>
    </x:row>
    <x:row r="169" ht="20" customHeight="1">
      <x:c r="A169" s="17" t="str">
        <x:v>P0110</x:v>
      </x:c>
      <x:c r="B169" s="17" t="str">
        <x:v>Q05</x:v>
      </x:c>
      <x:c r="C169" s="17" t="str">
        <x:v>L06</x:v>
      </x:c>
      <x:c r="D169" s="21" t="n">
        <x:v>1</x:v>
      </x:c>
      <x:c r="E169" s="21" t="n">
        <x:v>1</x:v>
      </x:c>
      <x:c r="F169" s="17" t="str">
        <x:v>完整单产品班次</x:v>
      </x:c>
      <x:c r="G169" s="18" t="n">
        <x:v>1000</x:v>
      </x:c>
      <x:c r="H169" s="18" t="n">
        <x:v>7492.499999999989</x:v>
      </x:c>
      <x:c r="I169" s="18" t="n">
        <x:v>1000</x:v>
      </x:c>
      <x:c r="J169" s="18" t="n">
        <x:v>1000</x:v>
      </x:c>
      <x:c r="K169" s="20" t="n">
        <x:v>0</x:v>
      </x:c>
      <x:c r="L169" s="19" t="n">
        <x:v>1</x:v>
      </x:c>
      <x:c r="M169" s="18" t="n">
        <x:v>1000</x:v>
      </x:c>
      <x:c r="N169" s="18" t="n">
        <x:v>1000</x:v>
      </x:c>
      <x:c r="O169" s="21" t="n">
        <x:v>1</x:v>
      </x:c>
      <x:c r="P169" s="20" t="n">
        <x:v>1</x:v>
      </x:c>
      <x:c r="Q169" s="20" t="n">
        <x:v>1</x:v>
      </x:c>
      <x:c r="R169" s="20" t="n">
        <x:v>1</x:v>
      </x:c>
      <x:c r="S169" s="20" t="n">
        <x:v>1</x:v>
      </x:c>
      <x:c r="T169" s="20" t="n">
        <x:v>1</x:v>
      </x:c>
      <x:c r="U169" s="20" t="n">
        <x:v>1</x:v>
      </x:c>
      <x:c r="V169" s="17" t="n">
        <x:v>1</x:v>
      </x:c>
    </x:row>
    <x:row r="170" ht="20" customHeight="1">
      <x:c r="A170" s="17" t="str">
        <x:v>P0111</x:v>
      </x:c>
      <x:c r="B170" s="17" t="str">
        <x:v>Q03</x:v>
      </x:c>
      <x:c r="C170" s="17" t="str">
        <x:v>L13</x:v>
      </x:c>
      <x:c r="D170" s="21" t="n">
        <x:v>4</x:v>
      </x:c>
      <x:c r="E170" s="21" t="n">
        <x:v>5</x:v>
      </x:c>
      <x:c r="F170" s="17" t="str">
        <x:v>完整单产品班次</x:v>
      </x:c>
      <x:c r="G170" s="18" t="n">
        <x:v>1062</x:v>
      </x:c>
      <x:c r="H170" s="18" t="n">
        <x:v>14160</x:v>
      </x:c>
      <x:c r="I170" s="18" t="n">
        <x:v>1062</x:v>
      </x:c>
      <x:c r="J170" s="18" t="n">
        <x:v>1062</x:v>
      </x:c>
      <x:c r="K170" s="20" t="n">
        <x:v>0</x:v>
      </x:c>
      <x:c r="L170" s="19" t="n">
        <x:v>1</x:v>
      </x:c>
      <x:c r="M170" s="18" t="n">
        <x:v>1062</x:v>
      </x:c>
      <x:c r="N170" s="18" t="n">
        <x:v>1062</x:v>
      </x:c>
      <x:c r="O170" s="21" t="n">
        <x:v>5</x:v>
      </x:c>
      <x:c r="P170" s="20" t="n">
        <x:v>1</x:v>
      </x:c>
      <x:c r="Q170" s="20" t="n">
        <x:v>1</x:v>
      </x:c>
      <x:c r="R170" s="20" t="n">
        <x:v>1</x:v>
      </x:c>
      <x:c r="S170" s="20" t="n">
        <x:v>1</x:v>
      </x:c>
      <x:c r="T170" s="20" t="n">
        <x:v>1</x:v>
      </x:c>
      <x:c r="U170" s="20" t="n">
        <x:v>1</x:v>
      </x:c>
      <x:c r="V170" s="17" t="n">
        <x:v>1</x:v>
      </x:c>
    </x:row>
    <x:row r="171" ht="20" customHeight="1">
      <x:c r="A171" s="17" t="str">
        <x:v>P0112</x:v>
      </x:c>
      <x:c r="B171" s="17" t="str">
        <x:v>Q03</x:v>
      </x:c>
      <x:c r="C171" s="17" t="str">
        <x:v>L13</x:v>
      </x:c>
      <x:c r="D171" s="21" t="n">
        <x:v>3</x:v>
      </x:c>
      <x:c r="E171" s="21" t="n">
        <x:v>3</x:v>
      </x:c>
      <x:c r="F171" s="17" t="str">
        <x:v>完整单产品班次</x:v>
      </x:c>
      <x:c r="G171" s="18" t="n">
        <x:v>14160</x:v>
      </x:c>
      <x:c r="H171" s="18" t="n">
        <x:v>14160</x:v>
      </x:c>
      <x:c r="I171" s="18" t="n">
        <x:v>14160</x:v>
      </x:c>
      <x:c r="J171" s="18" t="n">
        <x:v>14160</x:v>
      </x:c>
      <x:c r="K171" s="20" t="n">
        <x:v>0</x:v>
      </x:c>
      <x:c r="L171" s="19" t="n">
        <x:v>1</x:v>
      </x:c>
      <x:c r="M171" s="18" t="n">
        <x:v>14160</x:v>
      </x:c>
      <x:c r="N171" s="18" t="n">
        <x:v>14160</x:v>
      </x:c>
      <x:c r="O171" s="21" t="n">
        <x:v>3</x:v>
      </x:c>
      <x:c r="P171" s="20" t="n">
        <x:v>1</x:v>
      </x:c>
      <x:c r="Q171" s="20" t="n">
        <x:v>1</x:v>
      </x:c>
      <x:c r="R171" s="20" t="n">
        <x:v>1</x:v>
      </x:c>
      <x:c r="S171" s="20" t="n">
        <x:v>1</x:v>
      </x:c>
      <x:c r="T171" s="20" t="n">
        <x:v>1</x:v>
      </x:c>
      <x:c r="U171" s="20" t="n">
        <x:v>1</x:v>
      </x:c>
      <x:c r="V171" s="17" t="n">
        <x:v>1</x:v>
      </x:c>
    </x:row>
    <x:row r="172" ht="20" customHeight="1">
      <x:c r="A172" s="17" t="str">
        <x:v>P0113</x:v>
      </x:c>
      <x:c r="B172" s="17" t="str">
        <x:v>Q03</x:v>
      </x:c>
      <x:c r="C172" s="17" t="str">
        <x:v>L13</x:v>
      </x:c>
      <x:c r="D172" s="21" t="n">
        <x:v>3</x:v>
      </x:c>
      <x:c r="E172" s="21" t="n">
        <x:v>3</x:v>
      </x:c>
      <x:c r="F172" s="17" t="str">
        <x:v>完整单产品班次</x:v>
      </x:c>
      <x:c r="G172" s="18" t="n">
        <x:v>14160</x:v>
      </x:c>
      <x:c r="H172" s="18" t="n">
        <x:v>14160</x:v>
      </x:c>
      <x:c r="I172" s="18" t="n">
        <x:v>14160</x:v>
      </x:c>
      <x:c r="J172" s="18" t="n">
        <x:v>14160</x:v>
      </x:c>
      <x:c r="K172" s="20" t="n">
        <x:v>0</x:v>
      </x:c>
      <x:c r="L172" s="19" t="n">
        <x:v>1</x:v>
      </x:c>
      <x:c r="M172" s="18" t="n">
        <x:v>14160</x:v>
      </x:c>
      <x:c r="N172" s="18" t="n">
        <x:v>14160</x:v>
      </x:c>
      <x:c r="O172" s="21" t="n">
        <x:v>3</x:v>
      </x:c>
      <x:c r="P172" s="20" t="n">
        <x:v>1</x:v>
      </x:c>
      <x:c r="Q172" s="20" t="n">
        <x:v>1</x:v>
      </x:c>
      <x:c r="R172" s="20" t="n">
        <x:v>1</x:v>
      </x:c>
      <x:c r="S172" s="20" t="n">
        <x:v>1</x:v>
      </x:c>
      <x:c r="T172" s="20" t="n">
        <x:v>1</x:v>
      </x:c>
      <x:c r="U172" s="20" t="n">
        <x:v>1</x:v>
      </x:c>
      <x:c r="V172" s="17" t="n">
        <x:v>1</x:v>
      </x:c>
    </x:row>
    <x:row r="173" ht="20" customHeight="1">
      <x:c r="A173" s="17" t="str">
        <x:v>P0114</x:v>
      </x:c>
      <x:c r="B173" s="17" t="str">
        <x:v>Q03</x:v>
      </x:c>
      <x:c r="C173" s="17" t="str">
        <x:v>L13</x:v>
      </x:c>
      <x:c r="D173" s="21" t="n">
        <x:v>3</x:v>
      </x:c>
      <x:c r="E173" s="21" t="n">
        <x:v>3</x:v>
      </x:c>
      <x:c r="F173" s="17" t="str">
        <x:v>完整单产品班次</x:v>
      </x:c>
      <x:c r="G173" s="18" t="n">
        <x:v>14160</x:v>
      </x:c>
      <x:c r="H173" s="18" t="n">
        <x:v>14160</x:v>
      </x:c>
      <x:c r="I173" s="18" t="n">
        <x:v>14160</x:v>
      </x:c>
      <x:c r="J173" s="18" t="n">
        <x:v>14160</x:v>
      </x:c>
      <x:c r="K173" s="20" t="n">
        <x:v>0</x:v>
      </x:c>
      <x:c r="L173" s="19" t="n">
        <x:v>1</x:v>
      </x:c>
      <x:c r="M173" s="18" t="n">
        <x:v>14160</x:v>
      </x:c>
      <x:c r="N173" s="18" t="n">
        <x:v>14160</x:v>
      </x:c>
      <x:c r="O173" s="21" t="n">
        <x:v>3</x:v>
      </x:c>
      <x:c r="P173" s="20" t="n">
        <x:v>1</x:v>
      </x:c>
      <x:c r="Q173" s="20" t="n">
        <x:v>1</x:v>
      </x:c>
      <x:c r="R173" s="20" t="n">
        <x:v>1</x:v>
      </x:c>
      <x:c r="S173" s="20" t="n">
        <x:v>1</x:v>
      </x:c>
      <x:c r="T173" s="20" t="n">
        <x:v>1</x:v>
      </x:c>
      <x:c r="U173" s="20" t="n">
        <x:v>1</x:v>
      </x:c>
      <x:c r="V173" s="17" t="n">
        <x:v>1</x:v>
      </x:c>
    </x:row>
    <x:row r="174" ht="20" customHeight="1">
      <x:c r="A174" s="17" t="str">
        <x:v>P0115</x:v>
      </x:c>
      <x:c r="B174" s="17" t="str">
        <x:v>Q03</x:v>
      </x:c>
      <x:c r="C174" s="17" t="str">
        <x:v>L13</x:v>
      </x:c>
      <x:c r="D174" s="21" t="n">
        <x:v>3</x:v>
      </x:c>
      <x:c r="E174" s="21" t="n">
        <x:v>3</x:v>
      </x:c>
      <x:c r="F174" s="17" t="str">
        <x:v>完整单产品班次</x:v>
      </x:c>
      <x:c r="G174" s="18" t="n">
        <x:v>14160</x:v>
      </x:c>
      <x:c r="H174" s="18" t="n">
        <x:v>14160</x:v>
      </x:c>
      <x:c r="I174" s="18" t="n">
        <x:v>14160</x:v>
      </x:c>
      <x:c r="J174" s="18" t="n">
        <x:v>14160</x:v>
      </x:c>
      <x:c r="K174" s="20" t="n">
        <x:v>0</x:v>
      </x:c>
      <x:c r="L174" s="19" t="n">
        <x:v>1</x:v>
      </x:c>
      <x:c r="M174" s="18" t="n">
        <x:v>14160</x:v>
      </x:c>
      <x:c r="N174" s="18" t="n">
        <x:v>14160</x:v>
      </x:c>
      <x:c r="O174" s="21" t="n">
        <x:v>3</x:v>
      </x:c>
      <x:c r="P174" s="20" t="n">
        <x:v>1</x:v>
      </x:c>
      <x:c r="Q174" s="20" t="n">
        <x:v>1</x:v>
      </x:c>
      <x:c r="R174" s="20" t="n">
        <x:v>1</x:v>
      </x:c>
      <x:c r="S174" s="20" t="n">
        <x:v>1</x:v>
      </x:c>
      <x:c r="T174" s="20" t="n">
        <x:v>1</x:v>
      </x:c>
      <x:c r="U174" s="20" t="n">
        <x:v>1</x:v>
      </x:c>
      <x:c r="V174" s="17" t="n">
        <x:v>1</x:v>
      </x:c>
    </x:row>
    <x:row r="175" ht="20" customHeight="1">
      <x:c r="A175" s="17" t="str">
        <x:v>P0116</x:v>
      </x:c>
      <x:c r="B175" s="17" t="str">
        <x:v>Q03</x:v>
      </x:c>
      <x:c r="C175" s="17" t="str">
        <x:v>L13</x:v>
      </x:c>
      <x:c r="D175" s="21" t="n">
        <x:v>3</x:v>
      </x:c>
      <x:c r="E175" s="21" t="n">
        <x:v>3</x:v>
      </x:c>
      <x:c r="F175" s="17" t="str">
        <x:v>完整单产品班次</x:v>
      </x:c>
      <x:c r="G175" s="18" t="n">
        <x:v>14160</x:v>
      </x:c>
      <x:c r="H175" s="18" t="n">
        <x:v>14160</x:v>
      </x:c>
      <x:c r="I175" s="18" t="n">
        <x:v>14160</x:v>
      </x:c>
      <x:c r="J175" s="18" t="n">
        <x:v>14160</x:v>
      </x:c>
      <x:c r="K175" s="20" t="n">
        <x:v>0</x:v>
      </x:c>
      <x:c r="L175" s="19" t="n">
        <x:v>1</x:v>
      </x:c>
      <x:c r="M175" s="18" t="n">
        <x:v>14160</x:v>
      </x:c>
      <x:c r="N175" s="18" t="n">
        <x:v>14160</x:v>
      </x:c>
      <x:c r="O175" s="21" t="n">
        <x:v>3</x:v>
      </x:c>
      <x:c r="P175" s="20" t="n">
        <x:v>1</x:v>
      </x:c>
      <x:c r="Q175" s="20" t="n">
        <x:v>1</x:v>
      </x:c>
      <x:c r="R175" s="20" t="n">
        <x:v>1</x:v>
      </x:c>
      <x:c r="S175" s="20" t="n">
        <x:v>1</x:v>
      </x:c>
      <x:c r="T175" s="20" t="n">
        <x:v>1</x:v>
      </x:c>
      <x:c r="U175" s="20" t="n">
        <x:v>1</x:v>
      </x:c>
      <x:c r="V175" s="17" t="n">
        <x:v>1</x:v>
      </x:c>
    </x:row>
    <x:row r="176" ht="20" customHeight="1">
      <x:c r="A176" s="17" t="str">
        <x:v>P0117</x:v>
      </x:c>
      <x:c r="B176" s="17" t="str">
        <x:v>Q03</x:v>
      </x:c>
      <x:c r="C176" s="17" t="str">
        <x:v>L13</x:v>
      </x:c>
      <x:c r="D176" s="21" t="n">
        <x:v>2</x:v>
      </x:c>
      <x:c r="E176" s="21" t="n">
        <x:v>4</x:v>
      </x:c>
      <x:c r="F176" s="17" t="str">
        <x:v>完整单产品班次</x:v>
      </x:c>
      <x:c r="G176" s="18" t="n">
        <x:v>14160</x:v>
      </x:c>
      <x:c r="H176" s="18" t="n">
        <x:v>14160</x:v>
      </x:c>
      <x:c r="I176" s="18" t="n">
        <x:v>14160</x:v>
      </x:c>
      <x:c r="J176" s="18" t="n">
        <x:v>14160</x:v>
      </x:c>
      <x:c r="K176" s="20" t="n">
        <x:v>0</x:v>
      </x:c>
      <x:c r="L176" s="19" t="n">
        <x:v>1</x:v>
      </x:c>
      <x:c r="M176" s="18" t="n">
        <x:v>14160</x:v>
      </x:c>
      <x:c r="N176" s="18" t="n">
        <x:v>14160</x:v>
      </x:c>
      <x:c r="O176" s="21" t="n">
        <x:v>4</x:v>
      </x:c>
      <x:c r="P176" s="20" t="n">
        <x:v>1</x:v>
      </x:c>
      <x:c r="Q176" s="20" t="n">
        <x:v>1</x:v>
      </x:c>
      <x:c r="R176" s="20" t="n">
        <x:v>1</x:v>
      </x:c>
      <x:c r="S176" s="20" t="n">
        <x:v>1</x:v>
      </x:c>
      <x:c r="T176" s="20" t="n">
        <x:v>1</x:v>
      </x:c>
      <x:c r="U176" s="20" t="n">
        <x:v>1</x:v>
      </x:c>
      <x:c r="V176" s="17" t="n">
        <x:v>1</x:v>
      </x:c>
    </x:row>
    <x:row r="177" ht="20" customHeight="1">
      <x:c r="A177" s="17" t="str">
        <x:v>P0118</x:v>
      </x:c>
      <x:c r="B177" s="17" t="str">
        <x:v>Q03</x:v>
      </x:c>
      <x:c r="C177" s="17" t="str">
        <x:v>L02</x:v>
      </x:c>
      <x:c r="D177" s="21" t="n">
        <x:v>3</x:v>
      </x:c>
      <x:c r="E177" s="21" t="n">
        <x:v>3</x:v>
      </x:c>
      <x:c r="F177" s="17" t="str">
        <x:v>完整单产品班次</x:v>
      </x:c>
      <x:c r="G177" s="18" t="n">
        <x:v>14160</x:v>
      </x:c>
      <x:c r="H177" s="18" t="n">
        <x:v>33000</x:v>
      </x:c>
      <x:c r="I177" s="18" t="n">
        <x:v>14160</x:v>
      </x:c>
      <x:c r="J177" s="18" t="n">
        <x:v>14160</x:v>
      </x:c>
      <x:c r="K177" s="20" t="n">
        <x:v>0</x:v>
      </x:c>
      <x:c r="L177" s="19" t="n">
        <x:v>1</x:v>
      </x:c>
      <x:c r="M177" s="18" t="n">
        <x:v>14160</x:v>
      </x:c>
      <x:c r="N177" s="18" t="n">
        <x:v>14160</x:v>
      </x:c>
      <x:c r="O177" s="21" t="n">
        <x:v>3</x:v>
      </x:c>
      <x:c r="P177" s="20" t="n">
        <x:v>1</x:v>
      </x:c>
      <x:c r="Q177" s="20" t="n">
        <x:v>1</x:v>
      </x:c>
      <x:c r="R177" s="20" t="n">
        <x:v>1</x:v>
      </x:c>
      <x:c r="S177" s="20" t="n">
        <x:v>1</x:v>
      </x:c>
      <x:c r="T177" s="20" t="n">
        <x:v>1</x:v>
      </x:c>
      <x:c r="U177" s="20" t="n">
        <x:v>1</x:v>
      </x:c>
      <x:c r="V177" s="17" t="n">
        <x:v>1</x:v>
      </x:c>
    </x:row>
    <x:row r="178" ht="20" customHeight="1">
      <x:c r="A178" s="17" t="str">
        <x:v>P0119</x:v>
      </x:c>
      <x:c r="B178" s="17" t="str">
        <x:v>Q03</x:v>
      </x:c>
      <x:c r="C178" s="17" t="str">
        <x:v>L02</x:v>
      </x:c>
      <x:c r="D178" s="21" t="n">
        <x:v>3</x:v>
      </x:c>
      <x:c r="E178" s="21" t="n">
        <x:v>3</x:v>
      </x:c>
      <x:c r="F178" s="17" t="str">
        <x:v>完整单产品班次</x:v>
      </x:c>
      <x:c r="G178" s="18" t="n">
        <x:v>14160</x:v>
      </x:c>
      <x:c r="H178" s="18" t="n">
        <x:v>33000</x:v>
      </x:c>
      <x:c r="I178" s="18" t="n">
        <x:v>14160</x:v>
      </x:c>
      <x:c r="J178" s="18" t="n">
        <x:v>14160</x:v>
      </x:c>
      <x:c r="K178" s="20" t="n">
        <x:v>0</x:v>
      </x:c>
      <x:c r="L178" s="19" t="n">
        <x:v>1</x:v>
      </x:c>
      <x:c r="M178" s="18" t="n">
        <x:v>14160</x:v>
      </x:c>
      <x:c r="N178" s="18" t="n">
        <x:v>14160</x:v>
      </x:c>
      <x:c r="O178" s="21" t="n">
        <x:v>3</x:v>
      </x:c>
      <x:c r="P178" s="20" t="n">
        <x:v>1</x:v>
      </x:c>
      <x:c r="Q178" s="20" t="n">
        <x:v>1</x:v>
      </x:c>
      <x:c r="R178" s="20" t="n">
        <x:v>1</x:v>
      </x:c>
      <x:c r="S178" s="20" t="n">
        <x:v>1</x:v>
      </x:c>
      <x:c r="T178" s="20" t="n">
        <x:v>1</x:v>
      </x:c>
      <x:c r="U178" s="20" t="n">
        <x:v>1</x:v>
      </x:c>
      <x:c r="V178" s="17" t="n">
        <x:v>1</x:v>
      </x:c>
    </x:row>
    <x:row r="179" ht="20" customHeight="1">
      <x:c r="A179" s="17" t="str">
        <x:v>P0120</x:v>
      </x:c>
      <x:c r="B179" s="17" t="str">
        <x:v>Q03</x:v>
      </x:c>
      <x:c r="C179" s="17" t="str">
        <x:v>L02</x:v>
      </x:c>
      <x:c r="D179" s="21" t="n">
        <x:v>3</x:v>
      </x:c>
      <x:c r="E179" s="21" t="n">
        <x:v>3</x:v>
      </x:c>
      <x:c r="F179" s="17" t="str">
        <x:v>完整单产品班次</x:v>
      </x:c>
      <x:c r="G179" s="18" t="n">
        <x:v>14160</x:v>
      </x:c>
      <x:c r="H179" s="18" t="n">
        <x:v>33000</x:v>
      </x:c>
      <x:c r="I179" s="18" t="n">
        <x:v>14160</x:v>
      </x:c>
      <x:c r="J179" s="18" t="n">
        <x:v>14160</x:v>
      </x:c>
      <x:c r="K179" s="20" t="n">
        <x:v>0</x:v>
      </x:c>
      <x:c r="L179" s="19" t="n">
        <x:v>1</x:v>
      </x:c>
      <x:c r="M179" s="18" t="n">
        <x:v>14160</x:v>
      </x:c>
      <x:c r="N179" s="18" t="n">
        <x:v>14160</x:v>
      </x:c>
      <x:c r="O179" s="21" t="n">
        <x:v>3</x:v>
      </x:c>
      <x:c r="P179" s="20" t="n">
        <x:v>1</x:v>
      </x:c>
      <x:c r="Q179" s="20" t="n">
        <x:v>1</x:v>
      </x:c>
      <x:c r="R179" s="20" t="n">
        <x:v>1</x:v>
      </x:c>
      <x:c r="S179" s="20" t="n">
        <x:v>1</x:v>
      </x:c>
      <x:c r="T179" s="20" t="n">
        <x:v>1</x:v>
      </x:c>
      <x:c r="U179" s="20" t="n">
        <x:v>1</x:v>
      </x:c>
      <x:c r="V179" s="17" t="n">
        <x:v>1</x:v>
      </x:c>
    </x:row>
    <x:row r="180" ht="20" customHeight="1">
      <x:c r="A180" s="17" t="str">
        <x:v>P0121</x:v>
      </x:c>
      <x:c r="B180" s="17" t="str">
        <x:v>Q03</x:v>
      </x:c>
      <x:c r="C180" s="17" t="str">
        <x:v>L02</x:v>
      </x:c>
      <x:c r="D180" s="21" t="n">
        <x:v>3</x:v>
      </x:c>
      <x:c r="E180" s="21" t="n">
        <x:v>3</x:v>
      </x:c>
      <x:c r="F180" s="17" t="str">
        <x:v>完整单产品班次</x:v>
      </x:c>
      <x:c r="G180" s="18" t="n">
        <x:v>14160</x:v>
      </x:c>
      <x:c r="H180" s="18" t="n">
        <x:v>33000</x:v>
      </x:c>
      <x:c r="I180" s="18" t="n">
        <x:v>14160</x:v>
      </x:c>
      <x:c r="J180" s="18" t="n">
        <x:v>14160</x:v>
      </x:c>
      <x:c r="K180" s="20" t="n">
        <x:v>0</x:v>
      </x:c>
      <x:c r="L180" s="19" t="n">
        <x:v>1</x:v>
      </x:c>
      <x:c r="M180" s="18" t="n">
        <x:v>14160</x:v>
      </x:c>
      <x:c r="N180" s="18" t="n">
        <x:v>14160</x:v>
      </x:c>
      <x:c r="O180" s="21" t="n">
        <x:v>3</x:v>
      </x:c>
      <x:c r="P180" s="20" t="n">
        <x:v>1</x:v>
      </x:c>
      <x:c r="Q180" s="20" t="n">
        <x:v>1</x:v>
      </x:c>
      <x:c r="R180" s="20" t="n">
        <x:v>1</x:v>
      </x:c>
      <x:c r="S180" s="20" t="n">
        <x:v>1</x:v>
      </x:c>
      <x:c r="T180" s="20" t="n">
        <x:v>1</x:v>
      </x:c>
      <x:c r="U180" s="20" t="n">
        <x:v>1</x:v>
      </x:c>
      <x:c r="V180" s="17" t="n">
        <x:v>1</x:v>
      </x:c>
    </x:row>
    <x:row r="181" ht="20" customHeight="1">
      <x:c r="A181" s="17" t="str">
        <x:v>P0122</x:v>
      </x:c>
      <x:c r="B181" s="17" t="str">
        <x:v>Q03</x:v>
      </x:c>
      <x:c r="C181" s="17" t="str">
        <x:v>L02</x:v>
      </x:c>
      <x:c r="D181" s="21" t="n">
        <x:v>3</x:v>
      </x:c>
      <x:c r="E181" s="21" t="n">
        <x:v>3</x:v>
      </x:c>
      <x:c r="F181" s="17" t="str">
        <x:v>完整单产品班次</x:v>
      </x:c>
      <x:c r="G181" s="18" t="n">
        <x:v>14160</x:v>
      </x:c>
      <x:c r="H181" s="18" t="n">
        <x:v>33000</x:v>
      </x:c>
      <x:c r="I181" s="18" t="n">
        <x:v>14160</x:v>
      </x:c>
      <x:c r="J181" s="18" t="n">
        <x:v>14160</x:v>
      </x:c>
      <x:c r="K181" s="20" t="n">
        <x:v>0</x:v>
      </x:c>
      <x:c r="L181" s="19" t="n">
        <x:v>1</x:v>
      </x:c>
      <x:c r="M181" s="18" t="n">
        <x:v>14160</x:v>
      </x:c>
      <x:c r="N181" s="18" t="n">
        <x:v>14160</x:v>
      </x:c>
      <x:c r="O181" s="21" t="n">
        <x:v>3</x:v>
      </x:c>
      <x:c r="P181" s="20" t="n">
        <x:v>1</x:v>
      </x:c>
      <x:c r="Q181" s="20" t="n">
        <x:v>1</x:v>
      </x:c>
      <x:c r="R181" s="20" t="n">
        <x:v>1</x:v>
      </x:c>
      <x:c r="S181" s="20" t="n">
        <x:v>1</x:v>
      </x:c>
      <x:c r="T181" s="20" t="n">
        <x:v>1</x:v>
      </x:c>
      <x:c r="U181" s="20" t="n">
        <x:v>1</x:v>
      </x:c>
      <x:c r="V181" s="17" t="n">
        <x:v>1</x:v>
      </x:c>
    </x:row>
    <x:row r="182" ht="20" customHeight="1">
      <x:c r="A182" s="17" t="str">
        <x:v>P0123</x:v>
      </x:c>
      <x:c r="B182" s="17" t="str">
        <x:v>Q03</x:v>
      </x:c>
      <x:c r="C182" s="17" t="str">
        <x:v>L02</x:v>
      </x:c>
      <x:c r="D182" s="21" t="n">
        <x:v>3</x:v>
      </x:c>
      <x:c r="E182" s="21" t="n">
        <x:v>3</x:v>
      </x:c>
      <x:c r="F182" s="17" t="str">
        <x:v>完整单产品班次</x:v>
      </x:c>
      <x:c r="G182" s="18" t="n">
        <x:v>14160</x:v>
      </x:c>
      <x:c r="H182" s="18" t="n">
        <x:v>33000</x:v>
      </x:c>
      <x:c r="I182" s="18" t="n">
        <x:v>14160</x:v>
      </x:c>
      <x:c r="J182" s="18" t="n">
        <x:v>14160</x:v>
      </x:c>
      <x:c r="K182" s="20" t="n">
        <x:v>0</x:v>
      </x:c>
      <x:c r="L182" s="19" t="n">
        <x:v>1</x:v>
      </x:c>
      <x:c r="M182" s="18" t="n">
        <x:v>14160</x:v>
      </x:c>
      <x:c r="N182" s="18" t="n">
        <x:v>14160</x:v>
      </x:c>
      <x:c r="O182" s="21" t="n">
        <x:v>3</x:v>
      </x:c>
      <x:c r="P182" s="20" t="n">
        <x:v>1</x:v>
      </x:c>
      <x:c r="Q182" s="20" t="n">
        <x:v>1</x:v>
      </x:c>
      <x:c r="R182" s="20" t="n">
        <x:v>1</x:v>
      </x:c>
      <x:c r="S182" s="20" t="n">
        <x:v>1</x:v>
      </x:c>
      <x:c r="T182" s="20" t="n">
        <x:v>1</x:v>
      </x:c>
      <x:c r="U182" s="20" t="n">
        <x:v>1</x:v>
      </x:c>
      <x:c r="V182" s="17" t="n">
        <x:v>1</x:v>
      </x:c>
    </x:row>
    <x:row r="183" ht="20" customHeight="1">
      <x:c r="A183" s="17" t="str">
        <x:v>P0124</x:v>
      </x:c>
      <x:c r="B183" s="17" t="str">
        <x:v>Q05</x:v>
      </x:c>
      <x:c r="C183" s="17" t="str">
        <x:v>L06</x:v>
      </x:c>
      <x:c r="D183" s="21" t="n">
        <x:v>1</x:v>
      </x:c>
      <x:c r="E183" s="21" t="n">
        <x:v>1</x:v>
      </x:c>
      <x:c r="F183" s="17" t="str">
        <x:v>冲突或缺班次回退</x:v>
      </x:c>
      <x:c r="G183" s="18" t="n">
        <x:v>1000</x:v>
      </x:c>
      <x:c r="H183" s="18" t="n">
        <x:v>7492.499999999989</x:v>
      </x:c>
      <x:c r="I183" s="18" t="n">
        <x:v>1000</x:v>
      </x:c>
      <x:c r="J183" s="18" t="n">
        <x:v>1000</x:v>
      </x:c>
      <x:c r="K183" s="20" t="n">
        <x:v>0</x:v>
      </x:c>
      <x:c r="L183" s="19" t="n">
        <x:v>1</x:v>
      </x:c>
      <x:c r="M183" s="18" t="n">
        <x:v>1000</x:v>
      </x:c>
      <x:c r="N183" s="18" t="n">
        <x:v>1000</x:v>
      </x:c>
      <x:c r="O183" s="21" t="n">
        <x:v>1</x:v>
      </x:c>
      <x:c r="P183" s="20" t="n">
        <x:v>1</x:v>
      </x:c>
      <x:c r="Q183" s="20" t="n">
        <x:v>1</x:v>
      </x:c>
      <x:c r="R183" s="20" t="n">
        <x:v>1</x:v>
      </x:c>
      <x:c r="S183" s="20" t="n">
        <x:v>1</x:v>
      </x:c>
      <x:c r="T183" s="20" t="n">
        <x:v>1</x:v>
      </x:c>
      <x:c r="U183" s="20" t="n">
        <x:v>1</x:v>
      </x:c>
      <x:c r="V183" s="17" t="n">
        <x:v>1</x:v>
      </x:c>
    </x:row>
    <x:row r="184" ht="20" customHeight="1">
      <x:c r="A184" s="17" t="str">
        <x:v>P0125</x:v>
      </x:c>
      <x:c r="B184" s="17" t="str">
        <x:v>Q05</x:v>
      </x:c>
      <x:c r="C184" s="17" t="str">
        <x:v>L06</x:v>
      </x:c>
      <x:c r="D184" s="21" t="n">
        <x:v>1</x:v>
      </x:c>
      <x:c r="E184" s="21" t="n">
        <x:v>1</x:v>
      </x:c>
      <x:c r="F184" s="17" t="str">
        <x:v>冲突或缺班次回退</x:v>
      </x:c>
      <x:c r="G184" s="18" t="n">
        <x:v>1000</x:v>
      </x:c>
      <x:c r="H184" s="18" t="n">
        <x:v>7492.499999999989</x:v>
      </x:c>
      <x:c r="I184" s="18" t="n">
        <x:v>1000</x:v>
      </x:c>
      <x:c r="J184" s="18" t="n">
        <x:v>1000</x:v>
      </x:c>
      <x:c r="K184" s="20" t="n">
        <x:v>0</x:v>
      </x:c>
      <x:c r="L184" s="19" t="n">
        <x:v>1</x:v>
      </x:c>
      <x:c r="M184" s="18" t="n">
        <x:v>1000</x:v>
      </x:c>
      <x:c r="N184" s="18" t="n">
        <x:v>1000</x:v>
      </x:c>
      <x:c r="O184" s="21" t="n">
        <x:v>1</x:v>
      </x:c>
      <x:c r="P184" s="20" t="n">
        <x:v>1</x:v>
      </x:c>
      <x:c r="Q184" s="20" t="n">
        <x:v>1</x:v>
      </x:c>
      <x:c r="R184" s="20" t="n">
        <x:v>1</x:v>
      </x:c>
      <x:c r="S184" s="20" t="n">
        <x:v>1</x:v>
      </x:c>
      <x:c r="T184" s="20" t="n">
        <x:v>1</x:v>
      </x:c>
      <x:c r="U184" s="20" t="n">
        <x:v>1</x:v>
      </x:c>
      <x:c r="V184" s="17" t="n">
        <x:v>1</x:v>
      </x:c>
    </x:row>
    <x:row r="185" ht="20" customHeight="1">
      <x:c r="A185" s="17" t="str">
        <x:v>P0126</x:v>
      </x:c>
      <x:c r="B185" s="17" t="str">
        <x:v>Q03</x:v>
      </x:c>
      <x:c r="C185" s="17" t="str">
        <x:v>L13</x:v>
      </x:c>
      <x:c r="D185" s="21" t="n">
        <x:v>3</x:v>
      </x:c>
      <x:c r="E185" s="21" t="n">
        <x:v>3</x:v>
      </x:c>
      <x:c r="F185" s="17" t="str">
        <x:v>完整单产品班次</x:v>
      </x:c>
      <x:c r="G185" s="18" t="n">
        <x:v>14160</x:v>
      </x:c>
      <x:c r="H185" s="18" t="n">
        <x:v>14160</x:v>
      </x:c>
      <x:c r="I185" s="18" t="n">
        <x:v>14160</x:v>
      </x:c>
      <x:c r="J185" s="18" t="n">
        <x:v>14160</x:v>
      </x:c>
      <x:c r="K185" s="20" t="n">
        <x:v>0</x:v>
      </x:c>
      <x:c r="L185" s="19" t="n">
        <x:v>1</x:v>
      </x:c>
      <x:c r="M185" s="18" t="n">
        <x:v>14160</x:v>
      </x:c>
      <x:c r="N185" s="18" t="n">
        <x:v>14160</x:v>
      </x:c>
      <x:c r="O185" s="21" t="n">
        <x:v>3</x:v>
      </x:c>
      <x:c r="P185" s="20" t="n">
        <x:v>1</x:v>
      </x:c>
      <x:c r="Q185" s="20" t="n">
        <x:v>1</x:v>
      </x:c>
      <x:c r="R185" s="20" t="n">
        <x:v>1</x:v>
      </x:c>
      <x:c r="S185" s="20" t="n">
        <x:v>1</x:v>
      </x:c>
      <x:c r="T185" s="20" t="n">
        <x:v>1</x:v>
      </x:c>
      <x:c r="U185" s="20" t="n">
        <x:v>1</x:v>
      </x:c>
      <x:c r="V185" s="17" t="n">
        <x:v>1</x:v>
      </x:c>
    </x:row>
    <x:row r="186" ht="20" customHeight="1">
      <x:c r="A186" s="17" t="str">
        <x:v>P0127</x:v>
      </x:c>
      <x:c r="B186" s="17" t="str">
        <x:v>Q03</x:v>
      </x:c>
      <x:c r="C186" s="17" t="str">
        <x:v>L13</x:v>
      </x:c>
      <x:c r="D186" s="21" t="n">
        <x:v>2</x:v>
      </x:c>
      <x:c r="E186" s="21" t="n">
        <x:v>3</x:v>
      </x:c>
      <x:c r="F186" s="17" t="str">
        <x:v>完整单产品班次</x:v>
      </x:c>
      <x:c r="G186" s="18" t="n">
        <x:v>14160</x:v>
      </x:c>
      <x:c r="H186" s="18" t="n">
        <x:v>14160</x:v>
      </x:c>
      <x:c r="I186" s="18" t="n">
        <x:v>14160</x:v>
      </x:c>
      <x:c r="J186" s="18" t="n">
        <x:v>14160</x:v>
      </x:c>
      <x:c r="K186" s="20" t="n">
        <x:v>0</x:v>
      </x:c>
      <x:c r="L186" s="19" t="n">
        <x:v>1</x:v>
      </x:c>
      <x:c r="M186" s="18" t="n">
        <x:v>14160</x:v>
      </x:c>
      <x:c r="N186" s="18" t="n">
        <x:v>14160</x:v>
      </x:c>
      <x:c r="O186" s="21" t="n">
        <x:v>3</x:v>
      </x:c>
      <x:c r="P186" s="20" t="n">
        <x:v>1</x:v>
      </x:c>
      <x:c r="Q186" s="20" t="n">
        <x:v>1</x:v>
      </x:c>
      <x:c r="R186" s="20" t="n">
        <x:v>1</x:v>
      </x:c>
      <x:c r="S186" s="20" t="n">
        <x:v>1</x:v>
      </x:c>
      <x:c r="T186" s="20" t="n">
        <x:v>1</x:v>
      </x:c>
      <x:c r="U186" s="20" t="n">
        <x:v>1</x:v>
      </x:c>
      <x:c r="V186" s="17" t="n">
        <x:v>1</x:v>
      </x:c>
    </x:row>
    <x:row r="187" ht="20" customHeight="1">
      <x:c r="A187" s="17" t="str">
        <x:v>P0128</x:v>
      </x:c>
      <x:c r="B187" s="17" t="str">
        <x:v>Q03</x:v>
      </x:c>
      <x:c r="C187" s="17" t="str">
        <x:v>L13</x:v>
      </x:c>
      <x:c r="D187" s="21" t="n">
        <x:v>3</x:v>
      </x:c>
      <x:c r="E187" s="21" t="n">
        <x:v>3</x:v>
      </x:c>
      <x:c r="F187" s="17" t="str">
        <x:v>完整单产品班次</x:v>
      </x:c>
      <x:c r="G187" s="18" t="n">
        <x:v>14160</x:v>
      </x:c>
      <x:c r="H187" s="18" t="n">
        <x:v>14160</x:v>
      </x:c>
      <x:c r="I187" s="18" t="n">
        <x:v>14160</x:v>
      </x:c>
      <x:c r="J187" s="18" t="n">
        <x:v>14160</x:v>
      </x:c>
      <x:c r="K187" s="20" t="n">
        <x:v>0</x:v>
      </x:c>
      <x:c r="L187" s="19" t="n">
        <x:v>1</x:v>
      </x:c>
      <x:c r="M187" s="18" t="n">
        <x:v>14160</x:v>
      </x:c>
      <x:c r="N187" s="18" t="n">
        <x:v>14160</x:v>
      </x:c>
      <x:c r="O187" s="21" t="n">
        <x:v>3</x:v>
      </x:c>
      <x:c r="P187" s="20" t="n">
        <x:v>1</x:v>
      </x:c>
      <x:c r="Q187" s="20" t="n">
        <x:v>1</x:v>
      </x:c>
      <x:c r="R187" s="20" t="n">
        <x:v>1</x:v>
      </x:c>
      <x:c r="S187" s="20" t="n">
        <x:v>1</x:v>
      </x:c>
      <x:c r="T187" s="20" t="n">
        <x:v>1</x:v>
      </x:c>
      <x:c r="U187" s="20" t="n">
        <x:v>1</x:v>
      </x:c>
      <x:c r="V187" s="17" t="n">
        <x:v>1</x:v>
      </x:c>
    </x:row>
    <x:row r="188" ht="20" customHeight="1">
      <x:c r="A188" s="17" t="str">
        <x:v>P0129</x:v>
      </x:c>
      <x:c r="B188" s="17" t="str">
        <x:v>Q03</x:v>
      </x:c>
      <x:c r="C188" s="17" t="str">
        <x:v>L13</x:v>
      </x:c>
      <x:c r="D188" s="21" t="n">
        <x:v>3</x:v>
      </x:c>
      <x:c r="E188" s="21" t="n">
        <x:v>3</x:v>
      </x:c>
      <x:c r="F188" s="17" t="str">
        <x:v>完整单产品班次</x:v>
      </x:c>
      <x:c r="G188" s="18" t="n">
        <x:v>14160</x:v>
      </x:c>
      <x:c r="H188" s="18" t="n">
        <x:v>14160</x:v>
      </x:c>
      <x:c r="I188" s="18" t="n">
        <x:v>14160</x:v>
      </x:c>
      <x:c r="J188" s="18" t="n">
        <x:v>14160</x:v>
      </x:c>
      <x:c r="K188" s="20" t="n">
        <x:v>0</x:v>
      </x:c>
      <x:c r="L188" s="19" t="n">
        <x:v>1</x:v>
      </x:c>
      <x:c r="M188" s="18" t="n">
        <x:v>14160</x:v>
      </x:c>
      <x:c r="N188" s="18" t="n">
        <x:v>14160</x:v>
      </x:c>
      <x:c r="O188" s="21" t="n">
        <x:v>3</x:v>
      </x:c>
      <x:c r="P188" s="20" t="n">
        <x:v>1</x:v>
      </x:c>
      <x:c r="Q188" s="20" t="n">
        <x:v>1</x:v>
      </x:c>
      <x:c r="R188" s="20" t="n">
        <x:v>1</x:v>
      </x:c>
      <x:c r="S188" s="20" t="n">
        <x:v>1</x:v>
      </x:c>
      <x:c r="T188" s="20" t="n">
        <x:v>1</x:v>
      </x:c>
      <x:c r="U188" s="20" t="n">
        <x:v>1</x:v>
      </x:c>
      <x:c r="V188" s="17" t="n">
        <x:v>1</x:v>
      </x:c>
    </x:row>
    <x:row r="189" ht="20" customHeight="1">
      <x:c r="A189" s="17" t="str">
        <x:v>P0130</x:v>
      </x:c>
      <x:c r="B189" s="17" t="str">
        <x:v>Q03</x:v>
      </x:c>
      <x:c r="C189" s="17" t="str">
        <x:v>L13</x:v>
      </x:c>
      <x:c r="D189" s="21" t="n">
        <x:v>3</x:v>
      </x:c>
      <x:c r="E189" s="21" t="n">
        <x:v>3</x:v>
      </x:c>
      <x:c r="F189" s="17" t="str">
        <x:v>完整单产品班次</x:v>
      </x:c>
      <x:c r="G189" s="18" t="n">
        <x:v>14160</x:v>
      </x:c>
      <x:c r="H189" s="18" t="n">
        <x:v>14160</x:v>
      </x:c>
      <x:c r="I189" s="18" t="n">
        <x:v>14160</x:v>
      </x:c>
      <x:c r="J189" s="18" t="n">
        <x:v>14160</x:v>
      </x:c>
      <x:c r="K189" s="20" t="n">
        <x:v>0</x:v>
      </x:c>
      <x:c r="L189" s="19" t="n">
        <x:v>1</x:v>
      </x:c>
      <x:c r="M189" s="18" t="n">
        <x:v>14160</x:v>
      </x:c>
      <x:c r="N189" s="18" t="n">
        <x:v>14160</x:v>
      </x:c>
      <x:c r="O189" s="21" t="n">
        <x:v>3</x:v>
      </x:c>
      <x:c r="P189" s="20" t="n">
        <x:v>1</x:v>
      </x:c>
      <x:c r="Q189" s="20" t="n">
        <x:v>1</x:v>
      </x:c>
      <x:c r="R189" s="20" t="n">
        <x:v>1</x:v>
      </x:c>
      <x:c r="S189" s="20" t="n">
        <x:v>1</x:v>
      </x:c>
      <x:c r="T189" s="20" t="n">
        <x:v>1</x:v>
      </x:c>
      <x:c r="U189" s="20" t="n">
        <x:v>1</x:v>
      </x:c>
      <x:c r="V189" s="17" t="n">
        <x:v>1</x:v>
      </x:c>
    </x:row>
    <x:row r="190" ht="20" customHeight="1">
      <x:c r="A190" s="17" t="str">
        <x:v>P0131</x:v>
      </x:c>
      <x:c r="B190" s="17" t="str">
        <x:v>Q03</x:v>
      </x:c>
      <x:c r="C190" s="17" t="str">
        <x:v>L13</x:v>
      </x:c>
      <x:c r="D190" s="21" t="n">
        <x:v>2</x:v>
      </x:c>
      <x:c r="E190" s="21" t="n">
        <x:v>3</x:v>
      </x:c>
      <x:c r="F190" s="17" t="str">
        <x:v>完整单产品班次</x:v>
      </x:c>
      <x:c r="G190" s="18" t="n">
        <x:v>14160</x:v>
      </x:c>
      <x:c r="H190" s="18" t="n">
        <x:v>14160</x:v>
      </x:c>
      <x:c r="I190" s="18" t="n">
        <x:v>14160</x:v>
      </x:c>
      <x:c r="J190" s="18" t="n">
        <x:v>14160</x:v>
      </x:c>
      <x:c r="K190" s="20" t="n">
        <x:v>0</x:v>
      </x:c>
      <x:c r="L190" s="19" t="n">
        <x:v>1</x:v>
      </x:c>
      <x:c r="M190" s="18" t="n">
        <x:v>14160</x:v>
      </x:c>
      <x:c r="N190" s="18" t="n">
        <x:v>14160</x:v>
      </x:c>
      <x:c r="O190" s="21" t="n">
        <x:v>3</x:v>
      </x:c>
      <x:c r="P190" s="20" t="n">
        <x:v>1</x:v>
      </x:c>
      <x:c r="Q190" s="20" t="n">
        <x:v>1</x:v>
      </x:c>
      <x:c r="R190" s="20" t="n">
        <x:v>1</x:v>
      </x:c>
      <x:c r="S190" s="20" t="n">
        <x:v>1</x:v>
      </x:c>
      <x:c r="T190" s="20" t="n">
        <x:v>1</x:v>
      </x:c>
      <x:c r="U190" s="20" t="n">
        <x:v>1</x:v>
      </x:c>
      <x:c r="V190" s="17" t="n">
        <x:v>1</x:v>
      </x:c>
    </x:row>
    <x:row r="191" ht="20" customHeight="1">
      <x:c r="A191" s="17" t="str">
        <x:v>P0132</x:v>
      </x:c>
      <x:c r="B191" s="17" t="str">
        <x:v>Q03</x:v>
      </x:c>
      <x:c r="C191" s="17" t="str">
        <x:v>L02</x:v>
      </x:c>
      <x:c r="D191" s="21" t="n">
        <x:v>3</x:v>
      </x:c>
      <x:c r="E191" s="21" t="n">
        <x:v>3</x:v>
      </x:c>
      <x:c r="F191" s="17" t="str">
        <x:v>完整单产品班次</x:v>
      </x:c>
      <x:c r="G191" s="18" t="n">
        <x:v>14160</x:v>
      </x:c>
      <x:c r="H191" s="18" t="n">
        <x:v>33000</x:v>
      </x:c>
      <x:c r="I191" s="18" t="n">
        <x:v>14160</x:v>
      </x:c>
      <x:c r="J191" s="18" t="n">
        <x:v>14160</x:v>
      </x:c>
      <x:c r="K191" s="20" t="n">
        <x:v>0</x:v>
      </x:c>
      <x:c r="L191" s="19" t="n">
        <x:v>1</x:v>
      </x:c>
      <x:c r="M191" s="18" t="n">
        <x:v>14160</x:v>
      </x:c>
      <x:c r="N191" s="18" t="n">
        <x:v>14160</x:v>
      </x:c>
      <x:c r="O191" s="21" t="n">
        <x:v>3</x:v>
      </x:c>
      <x:c r="P191" s="20" t="n">
        <x:v>1</x:v>
      </x:c>
      <x:c r="Q191" s="20" t="n">
        <x:v>1</x:v>
      </x:c>
      <x:c r="R191" s="20" t="n">
        <x:v>1</x:v>
      </x:c>
      <x:c r="S191" s="20" t="n">
        <x:v>1</x:v>
      </x:c>
      <x:c r="T191" s="20" t="n">
        <x:v>1</x:v>
      </x:c>
      <x:c r="U191" s="20" t="n">
        <x:v>1</x:v>
      </x:c>
      <x:c r="V191" s="17" t="n">
        <x:v>1</x:v>
      </x:c>
    </x:row>
    <x:row r="192" ht="20" customHeight="1">
      <x:c r="A192" s="17" t="str">
        <x:v>P0133</x:v>
      </x:c>
      <x:c r="B192" s="17" t="str">
        <x:v>Q03</x:v>
      </x:c>
      <x:c r="C192" s="17" t="str">
        <x:v>L02</x:v>
      </x:c>
      <x:c r="D192" s="21" t="n">
        <x:v>3</x:v>
      </x:c>
      <x:c r="E192" s="21" t="n">
        <x:v>3</x:v>
      </x:c>
      <x:c r="F192" s="17" t="str">
        <x:v>完整单产品班次</x:v>
      </x:c>
      <x:c r="G192" s="18" t="n">
        <x:v>14160</x:v>
      </x:c>
      <x:c r="H192" s="18" t="n">
        <x:v>33000</x:v>
      </x:c>
      <x:c r="I192" s="18" t="n">
        <x:v>14160</x:v>
      </x:c>
      <x:c r="J192" s="18" t="n">
        <x:v>14160</x:v>
      </x:c>
      <x:c r="K192" s="20" t="n">
        <x:v>0</x:v>
      </x:c>
      <x:c r="L192" s="19" t="n">
        <x:v>1</x:v>
      </x:c>
      <x:c r="M192" s="18" t="n">
        <x:v>14160</x:v>
      </x:c>
      <x:c r="N192" s="18" t="n">
        <x:v>14160</x:v>
      </x:c>
      <x:c r="O192" s="21" t="n">
        <x:v>3</x:v>
      </x:c>
      <x:c r="P192" s="20" t="n">
        <x:v>1</x:v>
      </x:c>
      <x:c r="Q192" s="20" t="n">
        <x:v>1</x:v>
      </x:c>
      <x:c r="R192" s="20" t="n">
        <x:v>1</x:v>
      </x:c>
      <x:c r="S192" s="20" t="n">
        <x:v>1</x:v>
      </x:c>
      <x:c r="T192" s="20" t="n">
        <x:v>1</x:v>
      </x:c>
      <x:c r="U192" s="20" t="n">
        <x:v>1</x:v>
      </x:c>
      <x:c r="V192" s="17" t="n">
        <x:v>1</x:v>
      </x:c>
    </x:row>
    <x:row r="193" ht="20" customHeight="1">
      <x:c r="A193" s="17" t="str">
        <x:v>P0134</x:v>
      </x:c>
      <x:c r="B193" s="17" t="str">
        <x:v>Q03</x:v>
      </x:c>
      <x:c r="C193" s="17" t="str">
        <x:v>L02</x:v>
      </x:c>
      <x:c r="D193" s="21" t="n">
        <x:v>3</x:v>
      </x:c>
      <x:c r="E193" s="21" t="n">
        <x:v>3</x:v>
      </x:c>
      <x:c r="F193" s="17" t="str">
        <x:v>完整单产品班次</x:v>
      </x:c>
      <x:c r="G193" s="18" t="n">
        <x:v>14160</x:v>
      </x:c>
      <x:c r="H193" s="18" t="n">
        <x:v>33000</x:v>
      </x:c>
      <x:c r="I193" s="18" t="n">
        <x:v>14160</x:v>
      </x:c>
      <x:c r="J193" s="18" t="n">
        <x:v>14160</x:v>
      </x:c>
      <x:c r="K193" s="20" t="n">
        <x:v>0</x:v>
      </x:c>
      <x:c r="L193" s="19" t="n">
        <x:v>1</x:v>
      </x:c>
      <x:c r="M193" s="18" t="n">
        <x:v>14160</x:v>
      </x:c>
      <x:c r="N193" s="18" t="n">
        <x:v>14160</x:v>
      </x:c>
      <x:c r="O193" s="21" t="n">
        <x:v>3</x:v>
      </x:c>
      <x:c r="P193" s="20" t="n">
        <x:v>1</x:v>
      </x:c>
      <x:c r="Q193" s="20" t="n">
        <x:v>1</x:v>
      </x:c>
      <x:c r="R193" s="20" t="n">
        <x:v>1</x:v>
      </x:c>
      <x:c r="S193" s="20" t="n">
        <x:v>1</x:v>
      </x:c>
      <x:c r="T193" s="20" t="n">
        <x:v>1</x:v>
      </x:c>
      <x:c r="U193" s="20" t="n">
        <x:v>1</x:v>
      </x:c>
      <x:c r="V193" s="17" t="n">
        <x:v>1</x:v>
      </x:c>
    </x:row>
    <x:row r="194" ht="20" customHeight="1">
      <x:c r="A194" s="17" t="str">
        <x:v>P0135</x:v>
      </x:c>
      <x:c r="B194" s="17" t="str">
        <x:v>Q03</x:v>
      </x:c>
      <x:c r="C194" s="17" t="str">
        <x:v>L02</x:v>
      </x:c>
      <x:c r="D194" s="21" t="n">
        <x:v>3</x:v>
      </x:c>
      <x:c r="E194" s="21" t="n">
        <x:v>3</x:v>
      </x:c>
      <x:c r="F194" s="17" t="str">
        <x:v>完整单产品班次</x:v>
      </x:c>
      <x:c r="G194" s="18" t="n">
        <x:v>14160</x:v>
      </x:c>
      <x:c r="H194" s="18" t="n">
        <x:v>33000</x:v>
      </x:c>
      <x:c r="I194" s="18" t="n">
        <x:v>14160</x:v>
      </x:c>
      <x:c r="J194" s="18" t="n">
        <x:v>14160</x:v>
      </x:c>
      <x:c r="K194" s="20" t="n">
        <x:v>0</x:v>
      </x:c>
      <x:c r="L194" s="19" t="n">
        <x:v>1</x:v>
      </x:c>
      <x:c r="M194" s="18" t="n">
        <x:v>14160</x:v>
      </x:c>
      <x:c r="N194" s="18" t="n">
        <x:v>14160</x:v>
      </x:c>
      <x:c r="O194" s="21" t="n">
        <x:v>3</x:v>
      </x:c>
      <x:c r="P194" s="20" t="n">
        <x:v>1</x:v>
      </x:c>
      <x:c r="Q194" s="20" t="n">
        <x:v>1</x:v>
      </x:c>
      <x:c r="R194" s="20" t="n">
        <x:v>1</x:v>
      </x:c>
      <x:c r="S194" s="20" t="n">
        <x:v>1</x:v>
      </x:c>
      <x:c r="T194" s="20" t="n">
        <x:v>1</x:v>
      </x:c>
      <x:c r="U194" s="20" t="n">
        <x:v>1</x:v>
      </x:c>
      <x:c r="V194" s="17" t="n">
        <x:v>1</x:v>
      </x:c>
    </x:row>
    <x:row r="195" ht="20" customHeight="1">
      <x:c r="A195" s="17" t="str">
        <x:v>P0136</x:v>
      </x:c>
      <x:c r="B195" s="17" t="str">
        <x:v>Q03</x:v>
      </x:c>
      <x:c r="C195" s="17" t="str">
        <x:v>L02</x:v>
      </x:c>
      <x:c r="D195" s="21" t="n">
        <x:v>3</x:v>
      </x:c>
      <x:c r="E195" s="21" t="n">
        <x:v>3</x:v>
      </x:c>
      <x:c r="F195" s="17" t="str">
        <x:v>完整单产品班次</x:v>
      </x:c>
      <x:c r="G195" s="18" t="n">
        <x:v>14160</x:v>
      </x:c>
      <x:c r="H195" s="18" t="n">
        <x:v>33000</x:v>
      </x:c>
      <x:c r="I195" s="18" t="n">
        <x:v>14160</x:v>
      </x:c>
      <x:c r="J195" s="18" t="n">
        <x:v>14160</x:v>
      </x:c>
      <x:c r="K195" s="20" t="n">
        <x:v>0</x:v>
      </x:c>
      <x:c r="L195" s="19" t="n">
        <x:v>1</x:v>
      </x:c>
      <x:c r="M195" s="18" t="n">
        <x:v>14160</x:v>
      </x:c>
      <x:c r="N195" s="18" t="n">
        <x:v>14160</x:v>
      </x:c>
      <x:c r="O195" s="21" t="n">
        <x:v>3</x:v>
      </x:c>
      <x:c r="P195" s="20" t="n">
        <x:v>1</x:v>
      </x:c>
      <x:c r="Q195" s="20" t="n">
        <x:v>1</x:v>
      </x:c>
      <x:c r="R195" s="20" t="n">
        <x:v>1</x:v>
      </x:c>
      <x:c r="S195" s="20" t="n">
        <x:v>1</x:v>
      </x:c>
      <x:c r="T195" s="20" t="n">
        <x:v>1</x:v>
      </x:c>
      <x:c r="U195" s="20" t="n">
        <x:v>1</x:v>
      </x:c>
      <x:c r="V195" s="17" t="n">
        <x:v>1</x:v>
      </x:c>
    </x:row>
    <x:row r="196" ht="20" customHeight="1">
      <x:c r="A196" s="17" t="str">
        <x:v>P0137</x:v>
      </x:c>
      <x:c r="B196" s="17" t="str">
        <x:v>Q03</x:v>
      </x:c>
      <x:c r="C196" s="17" t="str">
        <x:v>L02</x:v>
      </x:c>
      <x:c r="D196" s="21" t="n">
        <x:v>3</x:v>
      </x:c>
      <x:c r="E196" s="21" t="n">
        <x:v>3</x:v>
      </x:c>
      <x:c r="F196" s="17" t="str">
        <x:v>完整单产品班次</x:v>
      </x:c>
      <x:c r="G196" s="18" t="n">
        <x:v>14160</x:v>
      </x:c>
      <x:c r="H196" s="18" t="n">
        <x:v>33000</x:v>
      </x:c>
      <x:c r="I196" s="18" t="n">
        <x:v>14160</x:v>
      </x:c>
      <x:c r="J196" s="18" t="n">
        <x:v>14160</x:v>
      </x:c>
      <x:c r="K196" s="20" t="n">
        <x:v>0</x:v>
      </x:c>
      <x:c r="L196" s="19" t="n">
        <x:v>1</x:v>
      </x:c>
      <x:c r="M196" s="18" t="n">
        <x:v>14160</x:v>
      </x:c>
      <x:c r="N196" s="18" t="n">
        <x:v>14160</x:v>
      </x:c>
      <x:c r="O196" s="21" t="n">
        <x:v>3</x:v>
      </x:c>
      <x:c r="P196" s="20" t="n">
        <x:v>1</x:v>
      </x:c>
      <x:c r="Q196" s="20" t="n">
        <x:v>1</x:v>
      </x:c>
      <x:c r="R196" s="20" t="n">
        <x:v>1</x:v>
      </x:c>
      <x:c r="S196" s="20" t="n">
        <x:v>1</x:v>
      </x:c>
      <x:c r="T196" s="20" t="n">
        <x:v>1</x:v>
      </x:c>
      <x:c r="U196" s="20" t="n">
        <x:v>1</x:v>
      </x:c>
      <x:c r="V196" s="17" t="n">
        <x:v>1</x:v>
      </x:c>
    </x:row>
    <x:row r="197" ht="20" customHeight="1">
      <x:c r="A197" s="17" t="str">
        <x:v>P0138</x:v>
      </x:c>
      <x:c r="B197" s="17" t="str">
        <x:v>Q11</x:v>
      </x:c>
      <x:c r="C197" s="17" t="str">
        <x:v>L07</x:v>
      </x:c>
      <x:c r="D197" s="21" t="n">
        <x:v>20</x:v>
      </x:c>
      <x:c r="E197" s="21" t="n">
        <x:v>20</x:v>
      </x:c>
      <x:c r="F197" s="17" t="str">
        <x:v>完整单产品班次</x:v>
      </x:c>
      <x:c r="G197" s="18" t="n">
        <x:v>2655</x:v>
      </x:c>
      <x:c r="H197" s="18" t="n">
        <x:v>2655</x:v>
      </x:c>
      <x:c r="I197" s="18" t="n">
        <x:v>2655</x:v>
      </x:c>
      <x:c r="J197" s="18" t="n">
        <x:v>2655</x:v>
      </x:c>
      <x:c r="K197" s="20" t="n">
        <x:v>0</x:v>
      </x:c>
      <x:c r="L197" s="19" t="n">
        <x:v>0.9433145009416196</x:v>
      </x:c>
      <x:c r="M197" s="18" t="n">
        <x:v>2655</x:v>
      </x:c>
      <x:c r="N197" s="18" t="n">
        <x:v>2655</x:v>
      </x:c>
      <x:c r="O197" s="21" t="n">
        <x:v>20</x:v>
      </x:c>
      <x:c r="P197" s="20" t="n">
        <x:v>1</x:v>
      </x:c>
      <x:c r="Q197" s="20" t="n">
        <x:v>1</x:v>
      </x:c>
      <x:c r="R197" s="20" t="n">
        <x:v>1</x:v>
      </x:c>
      <x:c r="S197" s="20" t="n">
        <x:v>1</x:v>
      </x:c>
      <x:c r="T197" s="20" t="n">
        <x:v>1</x:v>
      </x:c>
      <x:c r="U197" s="20" t="n">
        <x:v>1</x:v>
      </x:c>
      <x:c r="V197" s="17" t="n">
        <x:v>1</x:v>
      </x:c>
    </x:row>
    <x:row r="198" ht="20" customHeight="1">
      <x:c r="A198" s="17" t="str">
        <x:v>P0139</x:v>
      </x:c>
      <x:c r="B198" s="17" t="str">
        <x:v>Q03</x:v>
      </x:c>
      <x:c r="C198" s="17" t="str">
        <x:v>L09</x:v>
      </x:c>
      <x:c r="D198" s="21" t="n">
        <x:v>1</x:v>
      </x:c>
      <x:c r="E198" s="21" t="n">
        <x:v>1</x:v>
      </x:c>
      <x:c r="F198" s="17" t="str">
        <x:v>完整单产品班次</x:v>
      </x:c>
      <x:c r="G198" s="18" t="n">
        <x:v>15174</x:v>
      </x:c>
      <x:c r="H198" s="18" t="n">
        <x:v>19000</x:v>
      </x:c>
      <x:c r="I198" s="18" t="n">
        <x:v>15174</x:v>
      </x:c>
      <x:c r="J198" s="18" t="n">
        <x:v>15174</x:v>
      </x:c>
      <x:c r="K198" s="20" t="n">
        <x:v>0</x:v>
      </x:c>
      <x:c r="L198" s="19" t="n">
        <x:v>1</x:v>
      </x:c>
      <x:c r="M198" s="18" t="n">
        <x:v>15174</x:v>
      </x:c>
      <x:c r="N198" s="18" t="n">
        <x:v>15174</x:v>
      </x:c>
      <x:c r="O198" s="21" t="n">
        <x:v>1</x:v>
      </x:c>
      <x:c r="P198" s="20" t="n">
        <x:v>1</x:v>
      </x:c>
      <x:c r="Q198" s="20" t="n">
        <x:v>1</x:v>
      </x:c>
      <x:c r="R198" s="20" t="n">
        <x:v>1</x:v>
      </x:c>
      <x:c r="S198" s="20" t="n">
        <x:v>1</x:v>
      </x:c>
      <x:c r="T198" s="20" t="n">
        <x:v>1</x:v>
      </x:c>
      <x:c r="U198" s="20" t="n">
        <x:v>1</x:v>
      </x:c>
      <x:c r="V198" s="17" t="n">
        <x:v>1</x:v>
      </x:c>
    </x:row>
    <x:row r="199" ht="20" customHeight="1">
      <x:c r="A199" s="17" t="str">
        <x:v>P0140</x:v>
      </x:c>
      <x:c r="B199" s="17" t="str">
        <x:v>Q03</x:v>
      </x:c>
      <x:c r="C199" s="17" t="str">
        <x:v>L09</x:v>
      </x:c>
      <x:c r="D199" s="21" t="n">
        <x:v>1</x:v>
      </x:c>
      <x:c r="E199" s="21" t="n">
        <x:v>1</x:v>
      </x:c>
      <x:c r="F199" s="17" t="str">
        <x:v>冲突或缺班次回退</x:v>
      </x:c>
      <x:c r="G199" s="18" t="n">
        <x:v>7590</x:v>
      </x:c>
      <x:c r="H199" s="18" t="n">
        <x:v>19000</x:v>
      </x:c>
      <x:c r="I199" s="18" t="n">
        <x:v>7590</x:v>
      </x:c>
      <x:c r="J199" s="18" t="n">
        <x:v>7590</x:v>
      </x:c>
      <x:c r="K199" s="20" t="n">
        <x:v>0</x:v>
      </x:c>
      <x:c r="L199" s="19" t="n">
        <x:v>1</x:v>
      </x:c>
      <x:c r="M199" s="18" t="n">
        <x:v>7590</x:v>
      </x:c>
      <x:c r="N199" s="18" t="n">
        <x:v>7590</x:v>
      </x:c>
      <x:c r="O199" s="21" t="n">
        <x:v>1</x:v>
      </x:c>
      <x:c r="P199" s="20" t="n">
        <x:v>1</x:v>
      </x:c>
      <x:c r="Q199" s="20" t="n">
        <x:v>1</x:v>
      </x:c>
      <x:c r="R199" s="20" t="n">
        <x:v>1</x:v>
      </x:c>
      <x:c r="S199" s="20" t="n">
        <x:v>1</x:v>
      </x:c>
      <x:c r="T199" s="20" t="n">
        <x:v>1</x:v>
      </x:c>
      <x:c r="U199" s="20" t="n">
        <x:v>1</x:v>
      </x:c>
      <x:c r="V199" s="17" t="n">
        <x:v>1</x:v>
      </x:c>
    </x:row>
    <x:row r="200" ht="20" customHeight="1">
      <x:c r="A200" s="17" t="str">
        <x:v>P0141</x:v>
      </x:c>
      <x:c r="B200" s="17" t="str">
        <x:v>Q03</x:v>
      </x:c>
      <x:c r="C200" s="17" t="str">
        <x:v>L09</x:v>
      </x:c>
      <x:c r="D200" s="21" t="n">
        <x:v>1</x:v>
      </x:c>
      <x:c r="E200" s="21" t="n">
        <x:v>2</x:v>
      </x:c>
      <x:c r="F200" s="17" t="str">
        <x:v>完整单产品班次</x:v>
      </x:c>
      <x:c r="G200" s="18" t="n">
        <x:v>14160</x:v>
      </x:c>
      <x:c r="H200" s="18" t="n">
        <x:v>19000</x:v>
      </x:c>
      <x:c r="I200" s="18" t="n">
        <x:v>14160</x:v>
      </x:c>
      <x:c r="J200" s="18" t="n">
        <x:v>14160</x:v>
      </x:c>
      <x:c r="K200" s="20" t="n">
        <x:v>0</x:v>
      </x:c>
      <x:c r="L200" s="19" t="n">
        <x:v>1</x:v>
      </x:c>
      <x:c r="M200" s="18" t="n">
        <x:v>14160</x:v>
      </x:c>
      <x:c r="N200" s="18" t="n">
        <x:v>14160</x:v>
      </x:c>
      <x:c r="O200" s="21" t="n">
        <x:v>2</x:v>
      </x:c>
      <x:c r="P200" s="20" t="n">
        <x:v>1</x:v>
      </x:c>
      <x:c r="Q200" s="20" t="n">
        <x:v>1</x:v>
      </x:c>
      <x:c r="R200" s="20" t="n">
        <x:v>1</x:v>
      </x:c>
      <x:c r="S200" s="20" t="n">
        <x:v>1</x:v>
      </x:c>
      <x:c r="T200" s="20" t="n">
        <x:v>1</x:v>
      </x:c>
      <x:c r="U200" s="20" t="n">
        <x:v>1</x:v>
      </x:c>
      <x:c r="V200" s="17" t="n">
        <x:v>1</x:v>
      </x:c>
    </x:row>
    <x:row r="201" ht="20" customHeight="1">
      <x:c r="A201" s="17" t="str">
        <x:v>P0142</x:v>
      </x:c>
      <x:c r="B201" s="17" t="str">
        <x:v>Q03</x:v>
      </x:c>
      <x:c r="C201" s="17" t="str">
        <x:v>L09</x:v>
      </x:c>
      <x:c r="D201" s="21" t="n">
        <x:v>2</x:v>
      </x:c>
      <x:c r="E201" s="21" t="n">
        <x:v>2</x:v>
      </x:c>
      <x:c r="F201" s="17" t="str">
        <x:v>冲突或缺班次回退</x:v>
      </x:c>
      <x:c r="G201" s="18" t="n">
        <x:v>6732</x:v>
      </x:c>
      <x:c r="H201" s="18" t="n">
        <x:v>19000</x:v>
      </x:c>
      <x:c r="I201" s="18" t="n">
        <x:v>7080</x:v>
      </x:c>
      <x:c r="J201" s="18" t="n">
        <x:v>7080</x:v>
      </x:c>
      <x:c r="K201" s="20" t="n">
        <x:v>1.43318</x:v>
      </x:c>
      <x:c r="L201" s="19" t="n">
        <x:v>0.5084745762711864</x:v>
      </x:c>
      <x:c r="M201" s="18" t="n">
        <x:v>120</x:v>
      </x:c>
      <x:c r="N201" s="18" t="n">
        <x:v>7080</x:v>
      </x:c>
      <x:c r="O201" s="21" t="n">
        <x:v>2</x:v>
      </x:c>
      <x:c r="P201" s="20" t="n">
        <x:v>1</x:v>
      </x:c>
      <x:c r="Q201" s="20" t="n">
        <x:v>1</x:v>
      </x:c>
      <x:c r="R201" s="20" t="n">
        <x:v>1</x:v>
      </x:c>
      <x:c r="S201" s="20" t="n">
        <x:v>1</x:v>
      </x:c>
      <x:c r="T201" s="20" t="n">
        <x:v>1</x:v>
      </x:c>
      <x:c r="U201" s="20" t="n">
        <x:v>1</x:v>
      </x:c>
      <x:c r="V201" s="17" t="n">
        <x:v>1</x:v>
      </x:c>
    </x:row>
    <x:row r="202" ht="20" customHeight="1">
      <x:c r="A202" s="17" t="str">
        <x:v>P0143</x:v>
      </x:c>
      <x:c r="B202" s="17" t="str">
        <x:v>Q03</x:v>
      </x:c>
      <x:c r="C202" s="17" t="str">
        <x:v>L09</x:v>
      </x:c>
      <x:c r="D202" s="21" t="n">
        <x:v>1</x:v>
      </x:c>
      <x:c r="E202" s="21" t="n">
        <x:v>1</x:v>
      </x:c>
      <x:c r="F202" s="17" t="str">
        <x:v>完整单产品班次</x:v>
      </x:c>
      <x:c r="G202" s="18" t="n">
        <x:v>15174</x:v>
      </x:c>
      <x:c r="H202" s="18" t="n">
        <x:v>19000</x:v>
      </x:c>
      <x:c r="I202" s="18" t="n">
        <x:v>15174</x:v>
      </x:c>
      <x:c r="J202" s="18" t="n">
        <x:v>15174</x:v>
      </x:c>
      <x:c r="K202" s="20" t="n">
        <x:v>0</x:v>
      </x:c>
      <x:c r="L202" s="19" t="n">
        <x:v>1</x:v>
      </x:c>
      <x:c r="M202" s="18" t="n">
        <x:v>15174</x:v>
      </x:c>
      <x:c r="N202" s="18" t="n">
        <x:v>15174</x:v>
      </x:c>
      <x:c r="O202" s="21" t="n">
        <x:v>1</x:v>
      </x:c>
      <x:c r="P202" s="20" t="n">
        <x:v>1</x:v>
      </x:c>
      <x:c r="Q202" s="20" t="n">
        <x:v>1</x:v>
      </x:c>
      <x:c r="R202" s="20" t="n">
        <x:v>1</x:v>
      </x:c>
      <x:c r="S202" s="20" t="n">
        <x:v>1</x:v>
      </x:c>
      <x:c r="T202" s="20" t="n">
        <x:v>1</x:v>
      </x:c>
      <x:c r="U202" s="20" t="n">
        <x:v>1</x:v>
      </x:c>
      <x:c r="V202" s="17" t="n">
        <x:v>1</x:v>
      </x:c>
    </x:row>
    <x:row r="203" ht="20" customHeight="1">
      <x:c r="A203" s="17" t="str">
        <x:v>P0144</x:v>
      </x:c>
      <x:c r="B203" s="17" t="str">
        <x:v>Q03</x:v>
      </x:c>
      <x:c r="C203" s="17" t="str">
        <x:v>L09</x:v>
      </x:c>
      <x:c r="D203" s="21" t="n">
        <x:v>1</x:v>
      </x:c>
      <x:c r="E203" s="21" t="n">
        <x:v>1</x:v>
      </x:c>
      <x:c r="F203" s="17" t="str">
        <x:v>冲突或缺班次回退</x:v>
      </x:c>
      <x:c r="G203" s="18" t="n">
        <x:v>7590</x:v>
      </x:c>
      <x:c r="H203" s="18" t="n">
        <x:v>19000</x:v>
      </x:c>
      <x:c r="I203" s="18" t="n">
        <x:v>7590</x:v>
      </x:c>
      <x:c r="J203" s="18" t="n">
        <x:v>7590</x:v>
      </x:c>
      <x:c r="K203" s="20" t="n">
        <x:v>0</x:v>
      </x:c>
      <x:c r="L203" s="19" t="n">
        <x:v>1</x:v>
      </x:c>
      <x:c r="M203" s="18" t="n">
        <x:v>7590</x:v>
      </x:c>
      <x:c r="N203" s="18" t="n">
        <x:v>7590</x:v>
      </x:c>
      <x:c r="O203" s="21" t="n">
        <x:v>1</x:v>
      </x:c>
      <x:c r="P203" s="20" t="n">
        <x:v>1</x:v>
      </x:c>
      <x:c r="Q203" s="20" t="n">
        <x:v>1</x:v>
      </x:c>
      <x:c r="R203" s="20" t="n">
        <x:v>1</x:v>
      </x:c>
      <x:c r="S203" s="20" t="n">
        <x:v>1</x:v>
      </x:c>
      <x:c r="T203" s="20" t="n">
        <x:v>1</x:v>
      </x:c>
      <x:c r="U203" s="20" t="n">
        <x:v>1</x:v>
      </x:c>
      <x:c r="V203" s="17" t="n">
        <x:v>1</x:v>
      </x:c>
    </x:row>
    <x:row r="204" ht="20" customHeight="1">
      <x:c r="A204" s="17" t="str">
        <x:v>P0145</x:v>
      </x:c>
      <x:c r="B204" s="17" t="str">
        <x:v>Q03</x:v>
      </x:c>
      <x:c r="C204" s="17" t="str">
        <x:v>L09</x:v>
      </x:c>
      <x:c r="D204" s="21" t="n">
        <x:v>1</x:v>
      </x:c>
      <x:c r="E204" s="21" t="n">
        <x:v>1</x:v>
      </x:c>
      <x:c r="F204" s="17" t="str">
        <x:v>完整单产品班次</x:v>
      </x:c>
      <x:c r="G204" s="18" t="n">
        <x:v>15174</x:v>
      </x:c>
      <x:c r="H204" s="18" t="n">
        <x:v>19000</x:v>
      </x:c>
      <x:c r="I204" s="18" t="n">
        <x:v>15174</x:v>
      </x:c>
      <x:c r="J204" s="18" t="n">
        <x:v>15174</x:v>
      </x:c>
      <x:c r="K204" s="20" t="n">
        <x:v>0</x:v>
      </x:c>
      <x:c r="L204" s="19" t="n">
        <x:v>1</x:v>
      </x:c>
      <x:c r="M204" s="18" t="n">
        <x:v>15174</x:v>
      </x:c>
      <x:c r="N204" s="18" t="n">
        <x:v>15174</x:v>
      </x:c>
      <x:c r="O204" s="21" t="n">
        <x:v>1</x:v>
      </x:c>
      <x:c r="P204" s="20" t="n">
        <x:v>1</x:v>
      </x:c>
      <x:c r="Q204" s="20" t="n">
        <x:v>1</x:v>
      </x:c>
      <x:c r="R204" s="20" t="n">
        <x:v>1</x:v>
      </x:c>
      <x:c r="S204" s="20" t="n">
        <x:v>1</x:v>
      </x:c>
      <x:c r="T204" s="20" t="n">
        <x:v>1</x:v>
      </x:c>
      <x:c r="U204" s="20" t="n">
        <x:v>1</x:v>
      </x:c>
      <x:c r="V204" s="17" t="n">
        <x:v>1</x:v>
      </x:c>
    </x:row>
    <x:row r="205" ht="20" customHeight="1">
      <x:c r="A205" s="17" t="str">
        <x:v>P0146</x:v>
      </x:c>
      <x:c r="B205" s="17" t="str">
        <x:v>Q03</x:v>
      </x:c>
      <x:c r="C205" s="17" t="str">
        <x:v>L09</x:v>
      </x:c>
      <x:c r="D205" s="21" t="n">
        <x:v>1</x:v>
      </x:c>
      <x:c r="E205" s="21" t="n">
        <x:v>1</x:v>
      </x:c>
      <x:c r="F205" s="17" t="str">
        <x:v>冲突或缺班次回退</x:v>
      </x:c>
      <x:c r="G205" s="18" t="n">
        <x:v>7590</x:v>
      </x:c>
      <x:c r="H205" s="18" t="n">
        <x:v>19000</x:v>
      </x:c>
      <x:c r="I205" s="18" t="n">
        <x:v>7590</x:v>
      </x:c>
      <x:c r="J205" s="18" t="n">
        <x:v>7590</x:v>
      </x:c>
      <x:c r="K205" s="20" t="n">
        <x:v>0</x:v>
      </x:c>
      <x:c r="L205" s="19" t="n">
        <x:v>1</x:v>
      </x:c>
      <x:c r="M205" s="18" t="n">
        <x:v>7590</x:v>
      </x:c>
      <x:c r="N205" s="18" t="n">
        <x:v>7590</x:v>
      </x:c>
      <x:c r="O205" s="21" t="n">
        <x:v>1</x:v>
      </x:c>
      <x:c r="P205" s="20" t="n">
        <x:v>1</x:v>
      </x:c>
      <x:c r="Q205" s="20" t="n">
        <x:v>1</x:v>
      </x:c>
      <x:c r="R205" s="20" t="n">
        <x:v>1</x:v>
      </x:c>
      <x:c r="S205" s="20" t="n">
        <x:v>1</x:v>
      </x:c>
      <x:c r="T205" s="20" t="n">
        <x:v>1</x:v>
      </x:c>
      <x:c r="U205" s="20" t="n">
        <x:v>1</x:v>
      </x:c>
      <x:c r="V205" s="17" t="n">
        <x:v>1</x:v>
      </x:c>
    </x:row>
    <x:row r="206" ht="20" customHeight="1">
      <x:c r="A206" s="17" t="str">
        <x:v>P0147</x:v>
      </x:c>
      <x:c r="B206" s="17" t="str">
        <x:v>Q03</x:v>
      </x:c>
      <x:c r="C206" s="17" t="str">
        <x:v>L09</x:v>
      </x:c>
      <x:c r="D206" s="21" t="n">
        <x:v>1</x:v>
      </x:c>
      <x:c r="E206" s="21" t="n">
        <x:v>1</x:v>
      </x:c>
      <x:c r="F206" s="17" t="str">
        <x:v>完整单产品班次</x:v>
      </x:c>
      <x:c r="G206" s="18" t="n">
        <x:v>15174</x:v>
      </x:c>
      <x:c r="H206" s="18" t="n">
        <x:v>19000</x:v>
      </x:c>
      <x:c r="I206" s="18" t="n">
        <x:v>15174</x:v>
      </x:c>
      <x:c r="J206" s="18" t="n">
        <x:v>15174</x:v>
      </x:c>
      <x:c r="K206" s="20" t="n">
        <x:v>0</x:v>
      </x:c>
      <x:c r="L206" s="19" t="n">
        <x:v>1</x:v>
      </x:c>
      <x:c r="M206" s="18" t="n">
        <x:v>15174</x:v>
      </x:c>
      <x:c r="N206" s="18" t="n">
        <x:v>15174</x:v>
      </x:c>
      <x:c r="O206" s="21" t="n">
        <x:v>1</x:v>
      </x:c>
      <x:c r="P206" s="20" t="n">
        <x:v>1</x:v>
      </x:c>
      <x:c r="Q206" s="20" t="n">
        <x:v>1</x:v>
      </x:c>
      <x:c r="R206" s="20" t="n">
        <x:v>1</x:v>
      </x:c>
      <x:c r="S206" s="20" t="n">
        <x:v>1</x:v>
      </x:c>
      <x:c r="T206" s="20" t="n">
        <x:v>1</x:v>
      </x:c>
      <x:c r="U206" s="20" t="n">
        <x:v>1</x:v>
      </x:c>
      <x:c r="V206" s="17" t="n">
        <x:v>1</x:v>
      </x:c>
    </x:row>
    <x:row r="207" ht="20" customHeight="1">
      <x:c r="A207" s="17" t="str">
        <x:v>P0148</x:v>
      </x:c>
      <x:c r="B207" s="17" t="str">
        <x:v>Q03</x:v>
      </x:c>
      <x:c r="C207" s="17" t="str">
        <x:v>L09</x:v>
      </x:c>
      <x:c r="D207" s="21" t="n">
        <x:v>1</x:v>
      </x:c>
      <x:c r="E207" s="21" t="n">
        <x:v>1</x:v>
      </x:c>
      <x:c r="F207" s="17" t="str">
        <x:v>冲突或缺班次回退</x:v>
      </x:c>
      <x:c r="G207" s="18" t="n">
        <x:v>7590</x:v>
      </x:c>
      <x:c r="H207" s="18" t="n">
        <x:v>19000</x:v>
      </x:c>
      <x:c r="I207" s="18" t="n">
        <x:v>7590</x:v>
      </x:c>
      <x:c r="J207" s="18" t="n">
        <x:v>7590</x:v>
      </x:c>
      <x:c r="K207" s="20" t="n">
        <x:v>0</x:v>
      </x:c>
      <x:c r="L207" s="19" t="n">
        <x:v>1</x:v>
      </x:c>
      <x:c r="M207" s="18" t="n">
        <x:v>7590</x:v>
      </x:c>
      <x:c r="N207" s="18" t="n">
        <x:v>7590</x:v>
      </x:c>
      <x:c r="O207" s="21" t="n">
        <x:v>1</x:v>
      </x:c>
      <x:c r="P207" s="20" t="n">
        <x:v>1</x:v>
      </x:c>
      <x:c r="Q207" s="20" t="n">
        <x:v>1</x:v>
      </x:c>
      <x:c r="R207" s="20" t="n">
        <x:v>1</x:v>
      </x:c>
      <x:c r="S207" s="20" t="n">
        <x:v>1</x:v>
      </x:c>
      <x:c r="T207" s="20" t="n">
        <x:v>1</x:v>
      </x:c>
      <x:c r="U207" s="20" t="n">
        <x:v>1</x:v>
      </x:c>
      <x:c r="V207" s="17" t="n">
        <x:v>1</x:v>
      </x:c>
    </x:row>
    <x:row r="208" ht="20" customHeight="1">
      <x:c r="A208" s="17" t="str">
        <x:v>P0149</x:v>
      </x:c>
      <x:c r="B208" s="17" t="str">
        <x:v>Q03</x:v>
      </x:c>
      <x:c r="C208" s="17" t="str">
        <x:v>L04</x:v>
      </x:c>
      <x:c r="D208" s="21" t="n">
        <x:v>1</x:v>
      </x:c>
      <x:c r="E208" s="21" t="n">
        <x:v>1</x:v>
      </x:c>
      <x:c r="F208" s="17" t="str">
        <x:v>完整单产品班次</x:v>
      </x:c>
      <x:c r="G208" s="18" t="n">
        <x:v>15216</x:v>
      </x:c>
      <x:c r="H208" s="18" t="n">
        <x:v>15216</x:v>
      </x:c>
      <x:c r="I208" s="18" t="n">
        <x:v>15216</x:v>
      </x:c>
      <x:c r="J208" s="18" t="n">
        <x:v>15216</x:v>
      </x:c>
      <x:c r="K208" s="20" t="n">
        <x:v>0</x:v>
      </x:c>
      <x:c r="L208" s="19" t="n">
        <x:v>1</x:v>
      </x:c>
      <x:c r="M208" s="18" t="n">
        <x:v>15216</x:v>
      </x:c>
      <x:c r="N208" s="18" t="n">
        <x:v>15216</x:v>
      </x:c>
      <x:c r="O208" s="21" t="n">
        <x:v>1</x:v>
      </x:c>
      <x:c r="P208" s="20" t="n">
        <x:v>0.1</x:v>
      </x:c>
      <x:c r="Q208" s="20" t="n">
        <x:v>0</x:v>
      </x:c>
      <x:c r="R208" s="20" t="n">
        <x:v>1</x:v>
      </x:c>
      <x:c r="S208" s="20" t="n">
        <x:v>1</x:v>
      </x:c>
      <x:c r="T208" s="20" t="n">
        <x:v>0</x:v>
      </x:c>
      <x:c r="U208" s="20" t="n">
        <x:v>0.4</x:v>
      </x:c>
      <x:c r="V208" s="17" t="n">
        <x:v>2</x:v>
      </x:c>
    </x:row>
    <x:row r="209" ht="20" customHeight="1">
      <x:c r="A209" s="17" t="str">
        <x:v>P0149</x:v>
      </x:c>
      <x:c r="B209" s="17" t="str">
        <x:v>Q03</x:v>
      </x:c>
      <x:c r="C209" s="17" t="str">
        <x:v>L13</x:v>
      </x:c>
      <x:c r="D209" s="21" t="n">
        <x:v>5</x:v>
      </x:c>
      <x:c r="E209" s="21" t="n">
        <x:v>9</x:v>
      </x:c>
      <x:c r="F209" s="17" t="str">
        <x:v>完整单产品班次</x:v>
      </x:c>
      <x:c r="G209" s="18" t="n">
        <x:v>18000</x:v>
      </x:c>
      <x:c r="H209" s="18" t="n">
        <x:v>14160</x:v>
      </x:c>
      <x:c r="I209" s="18" t="n">
        <x:v>18000</x:v>
      </x:c>
      <x:c r="J209" s="18" t="n">
        <x:v>16080</x:v>
      </x:c>
      <x:c r="K209" s="20" t="n">
        <x:v>0</x:v>
      </x:c>
      <x:c r="L209" s="19" t="n">
        <x:v>0.8582089552238806</x:v>
      </x:c>
      <x:c r="M209" s="18" t="n">
        <x:v>11000</x:v>
      </x:c>
      <x:c r="N209" s="18" t="n">
        <x:v>18000</x:v>
      </x:c>
      <x:c r="O209" s="21" t="n">
        <x:v>9</x:v>
      </x:c>
      <x:c r="P209" s="20" t="n">
        <x:v>0.9</x:v>
      </x:c>
      <x:c r="Q209" s="20" t="n">
        <x:v>1</x:v>
      </x:c>
      <x:c r="R209" s="20" t="n">
        <x:v>1</x:v>
      </x:c>
      <x:c r="S209" s="20" t="n">
        <x:v>0</x:v>
      </x:c>
      <x:c r="T209" s="20" t="n">
        <x:v>1</x:v>
      </x:c>
      <x:c r="U209" s="20" t="n">
        <x:v>0.8</x:v>
      </x:c>
      <x:c r="V209" s="17" t="n">
        <x:v>1</x:v>
      </x:c>
    </x:row>
    <x:row r="210" ht="20" customHeight="1">
      <x:c r="A210" s="17" t="str">
        <x:v>P0150</x:v>
      </x:c>
      <x:c r="B210" s="17" t="str">
        <x:v>Q03</x:v>
      </x:c>
      <x:c r="C210" s="17" t="str">
        <x:v>L13</x:v>
      </x:c>
      <x:c r="D210" s="21" t="n">
        <x:v>7</x:v>
      </x:c>
      <x:c r="E210" s="21" t="n">
        <x:v>10</x:v>
      </x:c>
      <x:c r="F210" s="17" t="str">
        <x:v>完整单产品班次</x:v>
      </x:c>
      <x:c r="G210" s="18" t="n">
        <x:v>10997.6</x:v>
      </x:c>
      <x:c r="H210" s="18" t="n">
        <x:v>14160</x:v>
      </x:c>
      <x:c r="I210" s="18" t="n">
        <x:v>11000</x:v>
      </x:c>
      <x:c r="J210" s="18" t="n">
        <x:v>11000</x:v>
      </x:c>
      <x:c r="K210" s="20" t="n">
        <x:v>0</x:v>
      </x:c>
      <x:c r="L210" s="19" t="n">
        <x:v>0.9993766233766234</x:v>
      </x:c>
      <x:c r="M210" s="18" t="n">
        <x:v>10992</x:v>
      </x:c>
      <x:c r="N210" s="18" t="n">
        <x:v>11000</x:v>
      </x:c>
      <x:c r="O210" s="21" t="n">
        <x:v>10</x:v>
      </x:c>
      <x:c r="P210" s="20" t="n">
        <x:v>1</x:v>
      </x:c>
      <x:c r="Q210" s="20" t="n">
        <x:v>1</x:v>
      </x:c>
      <x:c r="R210" s="20" t="n">
        <x:v>1</x:v>
      </x:c>
      <x:c r="S210" s="20" t="n">
        <x:v>1</x:v>
      </x:c>
      <x:c r="T210" s="20" t="n">
        <x:v>1</x:v>
      </x:c>
      <x:c r="U210" s="20" t="n">
        <x:v>1</x:v>
      </x:c>
      <x:c r="V210" s="17" t="n">
        <x:v>1</x:v>
      </x:c>
    </x:row>
    <x:row r="211" ht="20" customHeight="1">
      <x:c r="A211" s="17" t="str">
        <x:v>P0151</x:v>
      </x:c>
      <x:c r="B211" s="17" t="str">
        <x:v>Q03</x:v>
      </x:c>
      <x:c r="C211" s="17" t="str">
        <x:v>L13</x:v>
      </x:c>
      <x:c r="D211" s="21" t="n">
        <x:v>3</x:v>
      </x:c>
      <x:c r="E211" s="21" t="n">
        <x:v>3</x:v>
      </x:c>
      <x:c r="F211" s="17" t="str">
        <x:v>完整单产品班次</x:v>
      </x:c>
      <x:c r="G211" s="18" t="n">
        <x:v>14160</x:v>
      </x:c>
      <x:c r="H211" s="18" t="n">
        <x:v>14160</x:v>
      </x:c>
      <x:c r="I211" s="18" t="n">
        <x:v>14160</x:v>
      </x:c>
      <x:c r="J211" s="18" t="n">
        <x:v>14160</x:v>
      </x:c>
      <x:c r="K211" s="20" t="n">
        <x:v>0</x:v>
      </x:c>
      <x:c r="L211" s="19" t="n">
        <x:v>1</x:v>
      </x:c>
      <x:c r="M211" s="18" t="n">
        <x:v>14160</x:v>
      </x:c>
      <x:c r="N211" s="18" t="n">
        <x:v>14160</x:v>
      </x:c>
      <x:c r="O211" s="21" t="n">
        <x:v>3</x:v>
      </x:c>
      <x:c r="P211" s="20" t="n">
        <x:v>1</x:v>
      </x:c>
      <x:c r="Q211" s="20" t="n">
        <x:v>1</x:v>
      </x:c>
      <x:c r="R211" s="20" t="n">
        <x:v>1</x:v>
      </x:c>
      <x:c r="S211" s="20" t="n">
        <x:v>1</x:v>
      </x:c>
      <x:c r="T211" s="20" t="n">
        <x:v>1</x:v>
      </x:c>
      <x:c r="U211" s="20" t="n">
        <x:v>1</x:v>
      </x:c>
      <x:c r="V211" s="17" t="n">
        <x:v>1</x:v>
      </x:c>
    </x:row>
    <x:row r="212" ht="20" customHeight="1">
      <x:c r="A212" s="17" t="str">
        <x:v>P0152</x:v>
      </x:c>
      <x:c r="B212" s="17" t="str">
        <x:v>Q03</x:v>
      </x:c>
      <x:c r="C212" s="17" t="str">
        <x:v>L13</x:v>
      </x:c>
      <x:c r="D212" s="21" t="n">
        <x:v>2</x:v>
      </x:c>
      <x:c r="E212" s="21" t="n">
        <x:v>3</x:v>
      </x:c>
      <x:c r="F212" s="17" t="str">
        <x:v>完整单产品班次</x:v>
      </x:c>
      <x:c r="G212" s="18" t="n">
        <x:v>14160</x:v>
      </x:c>
      <x:c r="H212" s="18" t="n">
        <x:v>14160</x:v>
      </x:c>
      <x:c r="I212" s="18" t="n">
        <x:v>14160</x:v>
      </x:c>
      <x:c r="J212" s="18" t="n">
        <x:v>14160</x:v>
      </x:c>
      <x:c r="K212" s="20" t="n">
        <x:v>0</x:v>
      </x:c>
      <x:c r="L212" s="19" t="n">
        <x:v>1</x:v>
      </x:c>
      <x:c r="M212" s="18" t="n">
        <x:v>14160</x:v>
      </x:c>
      <x:c r="N212" s="18" t="n">
        <x:v>14160</x:v>
      </x:c>
      <x:c r="O212" s="21" t="n">
        <x:v>3</x:v>
      </x:c>
      <x:c r="P212" s="20" t="n">
        <x:v>1</x:v>
      </x:c>
      <x:c r="Q212" s="20" t="n">
        <x:v>1</x:v>
      </x:c>
      <x:c r="R212" s="20" t="n">
        <x:v>1</x:v>
      </x:c>
      <x:c r="S212" s="20" t="n">
        <x:v>1</x:v>
      </x:c>
      <x:c r="T212" s="20" t="n">
        <x:v>1</x:v>
      </x:c>
      <x:c r="U212" s="20" t="n">
        <x:v>1</x:v>
      </x:c>
      <x:c r="V212" s="17" t="n">
        <x:v>1</x:v>
      </x:c>
    </x:row>
    <x:row r="213" ht="20" customHeight="1">
      <x:c r="A213" s="17" t="str">
        <x:v>P0153</x:v>
      </x:c>
      <x:c r="B213" s="17" t="str">
        <x:v>Q03</x:v>
      </x:c>
      <x:c r="C213" s="17" t="str">
        <x:v>L13</x:v>
      </x:c>
      <x:c r="D213" s="21" t="n">
        <x:v>2</x:v>
      </x:c>
      <x:c r="E213" s="21" t="n">
        <x:v>3</x:v>
      </x:c>
      <x:c r="F213" s="17" t="str">
        <x:v>完整单产品班次</x:v>
      </x:c>
      <x:c r="G213" s="18" t="n">
        <x:v>14160</x:v>
      </x:c>
      <x:c r="H213" s="18" t="n">
        <x:v>14160</x:v>
      </x:c>
      <x:c r="I213" s="18" t="n">
        <x:v>14160</x:v>
      </x:c>
      <x:c r="J213" s="18" t="n">
        <x:v>14160</x:v>
      </x:c>
      <x:c r="K213" s="20" t="n">
        <x:v>0</x:v>
      </x:c>
      <x:c r="L213" s="19" t="n">
        <x:v>1</x:v>
      </x:c>
      <x:c r="M213" s="18" t="n">
        <x:v>14160</x:v>
      </x:c>
      <x:c r="N213" s="18" t="n">
        <x:v>14160</x:v>
      </x:c>
      <x:c r="O213" s="21" t="n">
        <x:v>3</x:v>
      </x:c>
      <x:c r="P213" s="20" t="n">
        <x:v>1</x:v>
      </x:c>
      <x:c r="Q213" s="20" t="n">
        <x:v>1</x:v>
      </x:c>
      <x:c r="R213" s="20" t="n">
        <x:v>1</x:v>
      </x:c>
      <x:c r="S213" s="20" t="n">
        <x:v>1</x:v>
      </x:c>
      <x:c r="T213" s="20" t="n">
        <x:v>1</x:v>
      </x:c>
      <x:c r="U213" s="20" t="n">
        <x:v>1</x:v>
      </x:c>
      <x:c r="V213" s="17" t="n">
        <x:v>1</x:v>
      </x:c>
    </x:row>
    <x:row r="214" ht="20" customHeight="1">
      <x:c r="A214" s="17" t="str">
        <x:v>P0154</x:v>
      </x:c>
      <x:c r="B214" s="17" t="str">
        <x:v>Q03</x:v>
      </x:c>
      <x:c r="C214" s="17" t="str">
        <x:v>L13</x:v>
      </x:c>
      <x:c r="D214" s="21" t="n">
        <x:v>3</x:v>
      </x:c>
      <x:c r="E214" s="21" t="n">
        <x:v>3</x:v>
      </x:c>
      <x:c r="F214" s="17" t="str">
        <x:v>完整单产品班次</x:v>
      </x:c>
      <x:c r="G214" s="18" t="n">
        <x:v>14160</x:v>
      </x:c>
      <x:c r="H214" s="18" t="n">
        <x:v>14160</x:v>
      </x:c>
      <x:c r="I214" s="18" t="n">
        <x:v>14160</x:v>
      </x:c>
      <x:c r="J214" s="18" t="n">
        <x:v>14160</x:v>
      </x:c>
      <x:c r="K214" s="20" t="n">
        <x:v>0</x:v>
      </x:c>
      <x:c r="L214" s="19" t="n">
        <x:v>1</x:v>
      </x:c>
      <x:c r="M214" s="18" t="n">
        <x:v>14160</x:v>
      </x:c>
      <x:c r="N214" s="18" t="n">
        <x:v>14160</x:v>
      </x:c>
      <x:c r="O214" s="21" t="n">
        <x:v>3</x:v>
      </x:c>
      <x:c r="P214" s="20" t="n">
        <x:v>1</x:v>
      </x:c>
      <x:c r="Q214" s="20" t="n">
        <x:v>1</x:v>
      </x:c>
      <x:c r="R214" s="20" t="n">
        <x:v>1</x:v>
      </x:c>
      <x:c r="S214" s="20" t="n">
        <x:v>1</x:v>
      </x:c>
      <x:c r="T214" s="20" t="n">
        <x:v>1</x:v>
      </x:c>
      <x:c r="U214" s="20" t="n">
        <x:v>1</x:v>
      </x:c>
      <x:c r="V214" s="17" t="n">
        <x:v>1</x:v>
      </x:c>
    </x:row>
    <x:row r="215" ht="20" customHeight="1">
      <x:c r="A215" s="17" t="str">
        <x:v>P0155</x:v>
      </x:c>
      <x:c r="B215" s="17" t="str">
        <x:v>Q03</x:v>
      </x:c>
      <x:c r="C215" s="17" t="str">
        <x:v>L13</x:v>
      </x:c>
      <x:c r="D215" s="21" t="n">
        <x:v>3</x:v>
      </x:c>
      <x:c r="E215" s="21" t="n">
        <x:v>3</x:v>
      </x:c>
      <x:c r="F215" s="17" t="str">
        <x:v>完整单产品班次</x:v>
      </x:c>
      <x:c r="G215" s="18" t="n">
        <x:v>14160</x:v>
      </x:c>
      <x:c r="H215" s="18" t="n">
        <x:v>14160</x:v>
      </x:c>
      <x:c r="I215" s="18" t="n">
        <x:v>14160</x:v>
      </x:c>
      <x:c r="J215" s="18" t="n">
        <x:v>14160</x:v>
      </x:c>
      <x:c r="K215" s="20" t="n">
        <x:v>0</x:v>
      </x:c>
      <x:c r="L215" s="19" t="n">
        <x:v>1</x:v>
      </x:c>
      <x:c r="M215" s="18" t="n">
        <x:v>14160</x:v>
      </x:c>
      <x:c r="N215" s="18" t="n">
        <x:v>14160</x:v>
      </x:c>
      <x:c r="O215" s="21" t="n">
        <x:v>3</x:v>
      </x:c>
      <x:c r="P215" s="20" t="n">
        <x:v>1</x:v>
      </x:c>
      <x:c r="Q215" s="20" t="n">
        <x:v>1</x:v>
      </x:c>
      <x:c r="R215" s="20" t="n">
        <x:v>1</x:v>
      </x:c>
      <x:c r="S215" s="20" t="n">
        <x:v>1</x:v>
      </x:c>
      <x:c r="T215" s="20" t="n">
        <x:v>1</x:v>
      </x:c>
      <x:c r="U215" s="20" t="n">
        <x:v>1</x:v>
      </x:c>
      <x:c r="V215" s="17" t="n">
        <x:v>1</x:v>
      </x:c>
    </x:row>
    <x:row r="216" ht="20" customHeight="1">
      <x:c r="A216" s="17" t="str">
        <x:v>P0156</x:v>
      </x:c>
      <x:c r="B216" s="17" t="str">
        <x:v>Q03</x:v>
      </x:c>
      <x:c r="C216" s="17" t="str">
        <x:v>L13</x:v>
      </x:c>
      <x:c r="D216" s="21" t="n">
        <x:v>3</x:v>
      </x:c>
      <x:c r="E216" s="21" t="n">
        <x:v>3</x:v>
      </x:c>
      <x:c r="F216" s="17" t="str">
        <x:v>完整单产品班次</x:v>
      </x:c>
      <x:c r="G216" s="18" t="n">
        <x:v>14160</x:v>
      </x:c>
      <x:c r="H216" s="18" t="n">
        <x:v>14160</x:v>
      </x:c>
      <x:c r="I216" s="18" t="n">
        <x:v>14160</x:v>
      </x:c>
      <x:c r="J216" s="18" t="n">
        <x:v>14160</x:v>
      </x:c>
      <x:c r="K216" s="20" t="n">
        <x:v>0</x:v>
      </x:c>
      <x:c r="L216" s="19" t="n">
        <x:v>1</x:v>
      </x:c>
      <x:c r="M216" s="18" t="n">
        <x:v>14160</x:v>
      </x:c>
      <x:c r="N216" s="18" t="n">
        <x:v>14160</x:v>
      </x:c>
      <x:c r="O216" s="21" t="n">
        <x:v>3</x:v>
      </x:c>
      <x:c r="P216" s="20" t="n">
        <x:v>1</x:v>
      </x:c>
      <x:c r="Q216" s="20" t="n">
        <x:v>1</x:v>
      </x:c>
      <x:c r="R216" s="20" t="n">
        <x:v>1</x:v>
      </x:c>
      <x:c r="S216" s="20" t="n">
        <x:v>1</x:v>
      </x:c>
      <x:c r="T216" s="20" t="n">
        <x:v>1</x:v>
      </x:c>
      <x:c r="U216" s="20" t="n">
        <x:v>1</x:v>
      </x:c>
      <x:c r="V216" s="17" t="n">
        <x:v>1</x:v>
      </x:c>
    </x:row>
    <x:row r="217" ht="20" customHeight="1">
      <x:c r="A217" s="17" t="str">
        <x:v>P0157</x:v>
      </x:c>
      <x:c r="B217" s="17" t="str">
        <x:v>Q06</x:v>
      </x:c>
      <x:c r="C217" s="17" t="str">
        <x:v>L04</x:v>
      </x:c>
      <x:c r="D217" s="21" t="n">
        <x:v>20</x:v>
      </x:c>
      <x:c r="E217" s="21" t="n">
        <x:v>20</x:v>
      </x:c>
      <x:c r="F217" s="17" t="str">
        <x:v>完整单产品班次</x:v>
      </x:c>
      <x:c r="G217" s="18" t="n">
        <x:v>15000</x:v>
      </x:c>
      <x:c r="H217" s="18" t="n">
        <x:v>21500</x:v>
      </x:c>
      <x:c r="I217" s="18" t="n">
        <x:v>15000</x:v>
      </x:c>
      <x:c r="J217" s="18" t="n">
        <x:v>15000</x:v>
      </x:c>
      <x:c r="K217" s="20" t="n">
        <x:v>0</x:v>
      </x:c>
      <x:c r="L217" s="19" t="n">
        <x:v>0.9533333333333334</x:v>
      </x:c>
      <x:c r="M217" s="18" t="n">
        <x:v>15000</x:v>
      </x:c>
      <x:c r="N217" s="18" t="n">
        <x:v>15000</x:v>
      </x:c>
      <x:c r="O217" s="21" t="n">
        <x:v>20</x:v>
      </x:c>
      <x:c r="P217" s="20" t="n">
        <x:v>1</x:v>
      </x:c>
      <x:c r="Q217" s="20" t="n">
        <x:v>1</x:v>
      </x:c>
      <x:c r="R217" s="20" t="n">
        <x:v>1</x:v>
      </x:c>
      <x:c r="S217" s="20" t="n">
        <x:v>1</x:v>
      </x:c>
      <x:c r="T217" s="20" t="n">
        <x:v>1</x:v>
      </x:c>
      <x:c r="U217" s="20" t="n">
        <x:v>1</x:v>
      </x:c>
      <x:c r="V217" s="17" t="n">
        <x:v>1</x:v>
      </x:c>
    </x:row>
    <x:row r="218" ht="20" customHeight="1">
      <x:c r="A218" s="17" t="str">
        <x:v>P0158</x:v>
      </x:c>
      <x:c r="B218" s="17" t="str">
        <x:v>Q03</x:v>
      </x:c>
      <x:c r="C218" s="17" t="str">
        <x:v>L02</x:v>
      </x:c>
      <x:c r="D218" s="21" t="n">
        <x:v>1</x:v>
      </x:c>
      <x:c r="E218" s="21" t="n">
        <x:v>1</x:v>
      </x:c>
      <x:c r="F218" s="17" t="str">
        <x:v>冲突或缺班次回退</x:v>
      </x:c>
      <x:c r="G218" s="18" t="n">
        <x:v>5333</x:v>
      </x:c>
      <x:c r="H218" s="18" t="n">
        <x:v>33000</x:v>
      </x:c>
      <x:c r="I218" s="18" t="n">
        <x:v>5333</x:v>
      </x:c>
      <x:c r="J218" s="18" t="n">
        <x:v>5333</x:v>
      </x:c>
      <x:c r="K218" s="20" t="n">
        <x:v>0</x:v>
      </x:c>
      <x:c r="L218" s="19" t="n">
        <x:v>1</x:v>
      </x:c>
      <x:c r="M218" s="18" t="n">
        <x:v>5333</x:v>
      </x:c>
      <x:c r="N218" s="18" t="n">
        <x:v>5333</x:v>
      </x:c>
      <x:c r="O218" s="21" t="n">
        <x:v>1</x:v>
      </x:c>
      <x:c r="P218" s="20" t="n">
        <x:v>0.017543859649122806</x:v>
      </x:c>
      <x:c r="Q218" s="20" t="n">
        <x:v>0</x:v>
      </x:c>
      <x:c r="R218" s="20" t="n">
        <x:v>1</x:v>
      </x:c>
      <x:c r="S218" s="20" t="n">
        <x:v>1</x:v>
      </x:c>
      <x:c r="T218" s="20" t="n">
        <x:v>0</x:v>
      </x:c>
      <x:c r="U218" s="20" t="n">
        <x:v>0.4</x:v>
      </x:c>
      <x:c r="V218" s="17" t="n">
        <x:v>2</x:v>
      </x:c>
    </x:row>
    <x:row r="219" ht="20" customHeight="1">
      <x:c r="A219" s="17" t="str">
        <x:v>P0158</x:v>
      </x:c>
      <x:c r="B219" s="17" t="str">
        <x:v>Q03</x:v>
      </x:c>
      <x:c r="C219" s="17" t="str">
        <x:v>L03</x:v>
      </x:c>
      <x:c r="D219" s="21" t="n">
        <x:v>45</x:v>
      </x:c>
      <x:c r="E219" s="21" t="n">
        <x:v>56</x:v>
      </x:c>
      <x:c r="F219" s="17" t="str">
        <x:v>完整单产品班次</x:v>
      </x:c>
      <x:c r="G219" s="18" t="n">
        <x:v>6332</x:v>
      </x:c>
      <x:c r="H219" s="18" t="n">
        <x:v>42000</x:v>
      </x:c>
      <x:c r="I219" s="18" t="n">
        <x:v>6332</x:v>
      </x:c>
      <x:c r="J219" s="18" t="n">
        <x:v>6332</x:v>
      </x:c>
      <x:c r="K219" s="20" t="n">
        <x:v>0</x:v>
      </x:c>
      <x:c r="L219" s="19" t="n">
        <x:v>0.99067873938373</x:v>
      </x:c>
      <x:c r="M219" s="18" t="n">
        <x:v>6332</x:v>
      </x:c>
      <x:c r="N219" s="18" t="n">
        <x:v>6332</x:v>
      </x:c>
      <x:c r="O219" s="21" t="n">
        <x:v>56</x:v>
      </x:c>
      <x:c r="P219" s="20" t="n">
        <x:v>0.9824561403508771</x:v>
      </x:c>
      <x:c r="Q219" s="20" t="n">
        <x:v>1</x:v>
      </x:c>
      <x:c r="R219" s="20" t="n">
        <x:v>1</x:v>
      </x:c>
      <x:c r="S219" s="20" t="n">
        <x:v>0</x:v>
      </x:c>
      <x:c r="T219" s="20" t="n">
        <x:v>1</x:v>
      </x:c>
      <x:c r="U219" s="20" t="n">
        <x:v>0.8</x:v>
      </x:c>
      <x:c r="V219" s="17" t="n">
        <x:v>1</x:v>
      </x:c>
    </x:row>
    <x:row r="220" ht="20" customHeight="1">
      <x:c r="A220" s="17" t="str">
        <x:v>P0159</x:v>
      </x:c>
      <x:c r="B220" s="17" t="str">
        <x:v>Q03</x:v>
      </x:c>
      <x:c r="C220" s="17" t="str">
        <x:v>L02</x:v>
      </x:c>
      <x:c r="D220" s="21" t="n">
        <x:v>1</x:v>
      </x:c>
      <x:c r="E220" s="21" t="n">
        <x:v>1</x:v>
      </x:c>
      <x:c r="F220" s="17" t="str">
        <x:v>冲突或缺班次回退</x:v>
      </x:c>
      <x:c r="G220" s="18" t="n">
        <x:v>31998</x:v>
      </x:c>
      <x:c r="H220" s="18" t="n">
        <x:v>33000</x:v>
      </x:c>
      <x:c r="I220" s="18" t="n">
        <x:v>31998</x:v>
      </x:c>
      <x:c r="J220" s="18" t="n">
        <x:v>31998</x:v>
      </x:c>
      <x:c r="K220" s="20" t="n">
        <x:v>0</x:v>
      </x:c>
      <x:c r="L220" s="19" t="n">
        <x:v>1</x:v>
      </x:c>
      <x:c r="M220" s="18" t="n">
        <x:v>31998</x:v>
      </x:c>
      <x:c r="N220" s="18" t="n">
        <x:v>31998</x:v>
      </x:c>
      <x:c r="O220" s="21" t="n">
        <x:v>1</x:v>
      </x:c>
      <x:c r="P220" s="20" t="n">
        <x:v>0.03225806451612903</x:v>
      </x:c>
      <x:c r="Q220" s="20" t="n">
        <x:v>0</x:v>
      </x:c>
      <x:c r="R220" s="20" t="n">
        <x:v>1</x:v>
      </x:c>
      <x:c r="S220" s="20" t="n">
        <x:v>1</x:v>
      </x:c>
      <x:c r="T220" s="20" t="n">
        <x:v>0</x:v>
      </x:c>
      <x:c r="U220" s="20" t="n">
        <x:v>0.4</x:v>
      </x:c>
      <x:c r="V220" s="17" t="n">
        <x:v>2</x:v>
      </x:c>
    </x:row>
    <x:row r="221" ht="20" customHeight="1">
      <x:c r="A221" s="17" t="str">
        <x:v>P0159</x:v>
      </x:c>
      <x:c r="B221" s="17" t="str">
        <x:v>Q03</x:v>
      </x:c>
      <x:c r="C221" s="17" t="str">
        <x:v>L03</x:v>
      </x:c>
      <x:c r="D221" s="21" t="n">
        <x:v>9</x:v>
      </x:c>
      <x:c r="E221" s="21" t="n">
        <x:v>30</x:v>
      </x:c>
      <x:c r="F221" s="17" t="str">
        <x:v>完整单产品班次</x:v>
      </x:c>
      <x:c r="G221" s="18" t="n">
        <x:v>37992</x:v>
      </x:c>
      <x:c r="H221" s="18" t="n">
        <x:v>42000</x:v>
      </x:c>
      <x:c r="I221" s="18" t="n">
        <x:v>37992</x:v>
      </x:c>
      <x:c r="J221" s="18" t="n">
        <x:v>37992</x:v>
      </x:c>
      <x:c r="K221" s="20" t="n">
        <x:v>0</x:v>
      </x:c>
      <x:c r="L221" s="19" t="n">
        <x:v>1</x:v>
      </x:c>
      <x:c r="M221" s="18" t="n">
        <x:v>37992</x:v>
      </x:c>
      <x:c r="N221" s="18" t="n">
        <x:v>37992</x:v>
      </x:c>
      <x:c r="O221" s="21" t="n">
        <x:v>30</x:v>
      </x:c>
      <x:c r="P221" s="20" t="n">
        <x:v>0.967741935483871</x:v>
      </x:c>
      <x:c r="Q221" s="20" t="n">
        <x:v>1</x:v>
      </x:c>
      <x:c r="R221" s="20" t="n">
        <x:v>1</x:v>
      </x:c>
      <x:c r="S221" s="20" t="n">
        <x:v>1</x:v>
      </x:c>
      <x:c r="T221" s="20" t="n">
        <x:v>1</x:v>
      </x:c>
      <x:c r="U221" s="20" t="n">
        <x:v>1</x:v>
      </x:c>
      <x:c r="V221" s="17" t="n">
        <x:v>1</x:v>
      </x:c>
    </x:row>
    <x:row r="222" ht="20" customHeight="1">
      <x:c r="A222" s="17" t="str">
        <x:v>P0160</x:v>
      </x:c>
      <x:c r="B222" s="17" t="str">
        <x:v>Q11</x:v>
      </x:c>
      <x:c r="C222" s="17" t="str">
        <x:v>L05</x:v>
      </x:c>
      <x:c r="D222" s="21" t="n">
        <x:v>2</x:v>
      </x:c>
      <x:c r="E222" s="21" t="n">
        <x:v>4</x:v>
      </x:c>
      <x:c r="F222" s="17" t="str">
        <x:v>完整单产品班次</x:v>
      </x:c>
      <x:c r="G222" s="18" t="n">
        <x:v>6334</x:v>
      </x:c>
      <x:c r="H222" s="18" t="n">
        <x:v>6666</x:v>
      </x:c>
      <x:c r="I222" s="18" t="n">
        <x:v>6666</x:v>
      </x:c>
      <x:c r="J222" s="18" t="n">
        <x:v>6571</x:v>
      </x:c>
      <x:c r="K222" s="20" t="n">
        <x:v>1.4710794979079498</x:v>
      </x:c>
      <x:c r="L222" s="19" t="n">
        <x:v>0.509207122203622</x:v>
      </x:c>
      <x:c r="M222" s="18" t="n">
        <x:v>26</x:v>
      </x:c>
      <x:c r="N222" s="18" t="n">
        <x:v>6666</x:v>
      </x:c>
      <x:c r="O222" s="21" t="n">
        <x:v>4</x:v>
      </x:c>
      <x:c r="P222" s="20" t="n">
        <x:v>1</x:v>
      </x:c>
      <x:c r="Q222" s="20" t="n">
        <x:v>1</x:v>
      </x:c>
      <x:c r="R222" s="20" t="n">
        <x:v>1</x:v>
      </x:c>
      <x:c r="S222" s="20" t="n">
        <x:v>1</x:v>
      </x:c>
      <x:c r="T222" s="20" t="n">
        <x:v>1</x:v>
      </x:c>
      <x:c r="U222" s="20" t="n">
        <x:v>1</x:v>
      </x:c>
      <x:c r="V222" s="17" t="n">
        <x:v>1</x:v>
      </x:c>
    </x:row>
    <x:row r="223" ht="20" customHeight="1">
      <x:c r="A223" s="17" t="str">
        <x:v>P0161</x:v>
      </x:c>
      <x:c r="B223" s="17" t="str">
        <x:v>Q03</x:v>
      </x:c>
      <x:c r="C223" s="17" t="str">
        <x:v>L05</x:v>
      </x:c>
      <x:c r="D223" s="21" t="n">
        <x:v>5</x:v>
      </x:c>
      <x:c r="E223" s="21" t="n">
        <x:v>6</x:v>
      </x:c>
      <x:c r="F223" s="17" t="str">
        <x:v>完整单产品班次</x:v>
      </x:c>
      <x:c r="G223" s="18" t="n">
        <x:v>2000</x:v>
      </x:c>
      <x:c r="H223" s="18" t="n">
        <x:v>4000</x:v>
      </x:c>
      <x:c r="I223" s="18" t="n">
        <x:v>2000</x:v>
      </x:c>
      <x:c r="J223" s="18" t="n">
        <x:v>2000</x:v>
      </x:c>
      <x:c r="K223" s="20" t="n">
        <x:v>0</x:v>
      </x:c>
      <x:c r="L223" s="19" t="n">
        <x:v>0.98</x:v>
      </x:c>
      <x:c r="M223" s="18" t="n">
        <x:v>2000</x:v>
      </x:c>
      <x:c r="N223" s="18" t="n">
        <x:v>2000</x:v>
      </x:c>
      <x:c r="O223" s="21" t="n">
        <x:v>6</x:v>
      </x:c>
      <x:c r="P223" s="20" t="n">
        <x:v>1</x:v>
      </x:c>
      <x:c r="Q223" s="20" t="n">
        <x:v>1</x:v>
      </x:c>
      <x:c r="R223" s="20" t="n">
        <x:v>1</x:v>
      </x:c>
      <x:c r="S223" s="20" t="n">
        <x:v>1</x:v>
      </x:c>
      <x:c r="T223" s="20" t="n">
        <x:v>1</x:v>
      </x:c>
      <x:c r="U223" s="20" t="n">
        <x:v>1</x:v>
      </x:c>
      <x:c r="V223" s="17" t="n">
        <x:v>1</x:v>
      </x:c>
    </x:row>
    <x:row r="224" ht="20" customHeight="1">
      <x:c r="A224" s="17" t="str">
        <x:v>P0162</x:v>
      </x:c>
      <x:c r="B224" s="17" t="str">
        <x:v>Q03</x:v>
      </x:c>
      <x:c r="C224" s="17" t="str">
        <x:v>L05</x:v>
      </x:c>
      <x:c r="D224" s="21" t="n">
        <x:v>5</x:v>
      </x:c>
      <x:c r="E224" s="21" t="n">
        <x:v>6</x:v>
      </x:c>
      <x:c r="F224" s="17" t="str">
        <x:v>完整单产品班次</x:v>
      </x:c>
      <x:c r="G224" s="18" t="n">
        <x:v>2000</x:v>
      </x:c>
      <x:c r="H224" s="18" t="n">
        <x:v>4000</x:v>
      </x:c>
      <x:c r="I224" s="18" t="n">
        <x:v>2000</x:v>
      </x:c>
      <x:c r="J224" s="18" t="n">
        <x:v>2000</x:v>
      </x:c>
      <x:c r="K224" s="20" t="n">
        <x:v>0</x:v>
      </x:c>
      <x:c r="L224" s="19" t="n">
        <x:v>0.9799</x:v>
      </x:c>
      <x:c r="M224" s="18" t="n">
        <x:v>2000</x:v>
      </x:c>
      <x:c r="N224" s="18" t="n">
        <x:v>2000</x:v>
      </x:c>
      <x:c r="O224" s="21" t="n">
        <x:v>6</x:v>
      </x:c>
      <x:c r="P224" s="20" t="n">
        <x:v>1</x:v>
      </x:c>
      <x:c r="Q224" s="20" t="n">
        <x:v>1</x:v>
      </x:c>
      <x:c r="R224" s="20" t="n">
        <x:v>1</x:v>
      </x:c>
      <x:c r="S224" s="20" t="n">
        <x:v>1</x:v>
      </x:c>
      <x:c r="T224" s="20" t="n">
        <x:v>1</x:v>
      </x:c>
      <x:c r="U224" s="20" t="n">
        <x:v>1</x:v>
      </x:c>
      <x:c r="V224" s="17" t="n">
        <x:v>1</x:v>
      </x:c>
    </x:row>
    <x:row r="225" ht="20" customHeight="1">
      <x:c r="A225" s="17" t="str">
        <x:v>P0163</x:v>
      </x:c>
      <x:c r="B225" s="17" t="str">
        <x:v>Q06</x:v>
      </x:c>
      <x:c r="C225" s="17" t="str">
        <x:v>L04</x:v>
      </x:c>
      <x:c r="D225" s="21" t="n">
        <x:v>75</x:v>
      </x:c>
      <x:c r="E225" s="21" t="n">
        <x:v>76</x:v>
      </x:c>
      <x:c r="F225" s="17" t="str">
        <x:v>完整单产品班次</x:v>
      </x:c>
      <x:c r="G225" s="18" t="n">
        <x:v>21500</x:v>
      </x:c>
      <x:c r="H225" s="18" t="n">
        <x:v>21500</x:v>
      </x:c>
      <x:c r="I225" s="18" t="n">
        <x:v>21500</x:v>
      </x:c>
      <x:c r="J225" s="18" t="n">
        <x:v>21500</x:v>
      </x:c>
      <x:c r="K225" s="20" t="n">
        <x:v>0</x:v>
      </x:c>
      <x:c r="L225" s="19" t="n">
        <x:v>0.995968992248062</x:v>
      </x:c>
      <x:c r="M225" s="18" t="n">
        <x:v>21500</x:v>
      </x:c>
      <x:c r="N225" s="18" t="n">
        <x:v>21500</x:v>
      </x:c>
      <x:c r="O225" s="21" t="n">
        <x:v>76</x:v>
      </x:c>
      <x:c r="P225" s="20" t="n">
        <x:v>0.6129032258064516</x:v>
      </x:c>
      <x:c r="Q225" s="20" t="n">
        <x:v>1</x:v>
      </x:c>
      <x:c r="R225" s="20" t="n">
        <x:v>1</x:v>
      </x:c>
      <x:c r="S225" s="20" t="n">
        <x:v>1</x:v>
      </x:c>
      <x:c r="T225" s="20" t="n">
        <x:v>1</x:v>
      </x:c>
      <x:c r="U225" s="20" t="n">
        <x:v>1</x:v>
      </x:c>
      <x:c r="V225" s="17" t="n">
        <x:v>1</x:v>
      </x:c>
    </x:row>
    <x:row r="226" ht="20" customHeight="1">
      <x:c r="A226" s="17" t="str">
        <x:v>P0163</x:v>
      </x:c>
      <x:c r="B226" s="17" t="str">
        <x:v>Q06</x:v>
      </x:c>
      <x:c r="C226" s="17" t="str">
        <x:v>L07</x:v>
      </x:c>
      <x:c r="D226" s="21" t="n">
        <x:v>48</x:v>
      </x:c>
      <x:c r="E226" s="21" t="n">
        <x:v>48</x:v>
      </x:c>
      <x:c r="F226" s="17" t="str">
        <x:v>完整单产品班次</x:v>
      </x:c>
      <x:c r="G226" s="18" t="n">
        <x:v>21500</x:v>
      </x:c>
      <x:c r="H226" s="18" t="n">
        <x:v>21500</x:v>
      </x:c>
      <x:c r="I226" s="18" t="n">
        <x:v>21500</x:v>
      </x:c>
      <x:c r="J226" s="18" t="n">
        <x:v>21500</x:v>
      </x:c>
      <x:c r="K226" s="20" t="n">
        <x:v>0</x:v>
      </x:c>
      <x:c r="L226" s="19" t="n">
        <x:v>0.9893410852713178</x:v>
      </x:c>
      <x:c r="M226" s="18" t="n">
        <x:v>21500</x:v>
      </x:c>
      <x:c r="N226" s="18" t="n">
        <x:v>21500</x:v>
      </x:c>
      <x:c r="O226" s="21" t="n">
        <x:v>48</x:v>
      </x:c>
      <x:c r="P226" s="20" t="n">
        <x:v>0.3870967741935484</x:v>
      </x:c>
      <x:c r="Q226" s="20" t="n">
        <x:v>1</x:v>
      </x:c>
      <x:c r="R226" s="20" t="n">
        <x:v>1</x:v>
      </x:c>
      <x:c r="S226" s="20" t="n">
        <x:v>0</x:v>
      </x:c>
      <x:c r="T226" s="20" t="n">
        <x:v>0</x:v>
      </x:c>
      <x:c r="U226" s="20" t="n">
        <x:v>0.6000000000000001</x:v>
      </x:c>
      <x:c r="V226" s="17" t="n">
        <x:v>2</x:v>
      </x:c>
    </x:row>
    <x:row r="227" ht="20" customHeight="1">
      <x:c r="A227" s="17" t="str">
        <x:v>P0164</x:v>
      </x:c>
      <x:c r="B227" s="17" t="str">
        <x:v>Q06</x:v>
      </x:c>
      <x:c r="C227" s="17" t="str">
        <x:v>L07</x:v>
      </x:c>
      <x:c r="D227" s="21" t="n">
        <x:v>10</x:v>
      </x:c>
      <x:c r="E227" s="21" t="n">
        <x:v>18</x:v>
      </x:c>
      <x:c r="F227" s="17" t="str">
        <x:v>完整单产品班次</x:v>
      </x:c>
      <x:c r="G227" s="18" t="n">
        <x:v>10500</x:v>
      </x:c>
      <x:c r="H227" s="18" t="n">
        <x:v>21500</x:v>
      </x:c>
      <x:c r="I227" s="18" t="n">
        <x:v>10500</x:v>
      </x:c>
      <x:c r="J227" s="18" t="n">
        <x:v>10500</x:v>
      </x:c>
      <x:c r="K227" s="20" t="n">
        <x:v>0</x:v>
      </x:c>
      <x:c r="L227" s="19" t="n">
        <x:v>1</x:v>
      </x:c>
      <x:c r="M227" s="18" t="n">
        <x:v>10500</x:v>
      </x:c>
      <x:c r="N227" s="18" t="n">
        <x:v>10500</x:v>
      </x:c>
      <x:c r="O227" s="21" t="n">
        <x:v>18</x:v>
      </x:c>
      <x:c r="P227" s="20" t="n">
        <x:v>1</x:v>
      </x:c>
      <x:c r="Q227" s="20" t="n">
        <x:v>1</x:v>
      </x:c>
      <x:c r="R227" s="20" t="n">
        <x:v>1</x:v>
      </x:c>
      <x:c r="S227" s="20" t="n">
        <x:v>1</x:v>
      </x:c>
      <x:c r="T227" s="20" t="n">
        <x:v>1</x:v>
      </x:c>
      <x:c r="U227" s="20" t="n">
        <x:v>1</x:v>
      </x:c>
      <x:c r="V227" s="17" t="n">
        <x:v>1</x:v>
      </x:c>
    </x:row>
    <x:row r="228" ht="20" customHeight="1">
      <x:c r="A228" s="17" t="str">
        <x:v>P0165</x:v>
      </x:c>
      <x:c r="B228" s="17" t="str">
        <x:v>Q06</x:v>
      </x:c>
      <x:c r="C228" s="17" t="str">
        <x:v>L07</x:v>
      </x:c>
      <x:c r="D228" s="21" t="n">
        <x:v>11</x:v>
      </x:c>
      <x:c r="E228" s="21" t="n">
        <x:v>11</x:v>
      </x:c>
      <x:c r="F228" s="17" t="str">
        <x:v>冲突或缺班次回退</x:v>
      </x:c>
      <x:c r="G228" s="18" t="n">
        <x:v>21000</x:v>
      </x:c>
      <x:c r="H228" s="18" t="n">
        <x:v>21500</x:v>
      </x:c>
      <x:c r="I228" s="18" t="n">
        <x:v>21000</x:v>
      </x:c>
      <x:c r="J228" s="18" t="n">
        <x:v>21000</x:v>
      </x:c>
      <x:c r="K228" s="20" t="n">
        <x:v>0</x:v>
      </x:c>
      <x:c r="L228" s="19" t="n">
        <x:v>1</x:v>
      </x:c>
      <x:c r="M228" s="18" t="n">
        <x:v>21000</x:v>
      </x:c>
      <x:c r="N228" s="18" t="n">
        <x:v>21000</x:v>
      </x:c>
      <x:c r="O228" s="21" t="n">
        <x:v>11</x:v>
      </x:c>
      <x:c r="P228" s="20" t="n">
        <x:v>1</x:v>
      </x:c>
      <x:c r="Q228" s="20" t="n">
        <x:v>1</x:v>
      </x:c>
      <x:c r="R228" s="20" t="n">
        <x:v>1</x:v>
      </x:c>
      <x:c r="S228" s="20" t="n">
        <x:v>1</x:v>
      </x:c>
      <x:c r="T228" s="20" t="n">
        <x:v>1</x:v>
      </x:c>
      <x:c r="U228" s="20" t="n">
        <x:v>1</x:v>
      </x:c>
      <x:c r="V228" s="17" t="n">
        <x:v>1</x:v>
      </x:c>
    </x:row>
    <x:row r="229" ht="20" customHeight="1">
      <x:c r="A229" s="17" t="str">
        <x:v>P0166</x:v>
      </x:c>
      <x:c r="B229" s="17" t="str">
        <x:v>Q05</x:v>
      </x:c>
      <x:c r="C229" s="17" t="str">
        <x:v>L06</x:v>
      </x:c>
      <x:c r="D229" s="21" t="n">
        <x:v>1</x:v>
      </x:c>
      <x:c r="E229" s="21" t="n">
        <x:v>1</x:v>
      </x:c>
      <x:c r="F229" s="17" t="str">
        <x:v>完整单产品班次</x:v>
      </x:c>
      <x:c r="G229" s="18" t="n">
        <x:v>1000</x:v>
      </x:c>
      <x:c r="H229" s="18" t="n">
        <x:v>7492.499999999989</x:v>
      </x:c>
      <x:c r="I229" s="18" t="n">
        <x:v>1000</x:v>
      </x:c>
      <x:c r="J229" s="18" t="n">
        <x:v>1000</x:v>
      </x:c>
      <x:c r="K229" s="20" t="n">
        <x:v>0</x:v>
      </x:c>
      <x:c r="L229" s="19" t="n">
        <x:v>1</x:v>
      </x:c>
      <x:c r="M229" s="18" t="n">
        <x:v>1000</x:v>
      </x:c>
      <x:c r="N229" s="18" t="n">
        <x:v>1000</x:v>
      </x:c>
      <x:c r="O229" s="21" t="n">
        <x:v>1</x:v>
      </x:c>
      <x:c r="P229" s="20" t="n">
        <x:v>1</x:v>
      </x:c>
      <x:c r="Q229" s="20" t="n">
        <x:v>1</x:v>
      </x:c>
      <x:c r="R229" s="20" t="n">
        <x:v>1</x:v>
      </x:c>
      <x:c r="S229" s="20" t="n">
        <x:v>1</x:v>
      </x:c>
      <x:c r="T229" s="20" t="n">
        <x:v>1</x:v>
      </x:c>
      <x:c r="U229" s="20" t="n">
        <x:v>1</x:v>
      </x:c>
      <x:c r="V229" s="17" t="n">
        <x:v>1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5d7055380ffb48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11" hidden="0" customWidth="1"/>
    <x:col min="5" max="5" width="28" hidden="0" customWidth="1"/>
    <x:col min="6" max="6" width="36" hidden="0" customWidth="1"/>
  </x:cols>
  <x:sheetData>
    <x:row r="1" ht="30" customHeight="1">
      <x:c r="A1" s="4" t="str">
        <x:v>求解验证与数字追溯</x:v>
      </x:c>
      <x:c r="B1" s="4" t="str">
        <x:v>求解验证与数字追溯</x:v>
      </x:c>
      <x:c r="C1" s="4" t="str">
        <x:v>求解验证与数字追溯</x:v>
      </x:c>
      <x:c r="D1" s="4" t="str">
        <x:v>求解验证与数字追溯</x:v>
      </x:c>
      <x:c r="E1" s="4" t="str">
        <x:v>求解验证与数字追溯</x:v>
      </x:c>
      <x:c r="F1" s="4" t="str">
        <x:v>求解验证与数字追溯</x:v>
      </x:c>
    </x:row>
    <x:row r="2" ht="22" customHeight="1">
      <x:c r="A2" s="8" t="str">
        <x:v>输入哈希、运行环境、求解器状态和26项一致性检查</x:v>
      </x:c>
      <x:c r="B2" s="8" t="str">
        <x:v>输入哈希、运行环境、求解器状态和26项一致性检查</x:v>
      </x:c>
      <x:c r="C2" s="8" t="str">
        <x:v>输入哈希、运行环境、求解器状态和26项一致性检查</x:v>
      </x:c>
      <x:c r="D2" s="8" t="str">
        <x:v>输入哈希、运行环境、求解器状态和26项一致性检查</x:v>
      </x:c>
      <x:c r="E2" s="8" t="str">
        <x:v>输入哈希、运行环境、求解器状态和26项一致性检查</x:v>
      </x:c>
      <x:c r="F2" s="8" t="str">
        <x:v>输入哈希、运行环境、求解器状态和26项一致性检查</x:v>
      </x:c>
    </x:row>
    <x:row r="4" ht="26" customHeight="1">
      <x:c r="A4" s="14" t="str">
        <x:v>类别</x:v>
      </x:c>
      <x:c r="B4" s="14" t="str">
        <x:v>项目</x:v>
      </x:c>
      <x:c r="C4" s="14" t="str">
        <x:v>结果</x:v>
      </x:c>
      <x:c r="D4" s="14" t="str">
        <x:v>状态</x:v>
      </x:c>
      <x:c r="E4" s="14" t="str">
        <x:v>来源文件</x:v>
      </x:c>
      <x:c r="F4" s="14" t="str">
        <x:v>说明</x:v>
      </x:c>
    </x:row>
    <x:row r="5" ht="20" customHeight="1">
      <x:c r="A5" s="17" t="str">
        <x:v>冻结状态</x:v>
      </x:c>
      <x:c r="B5" s="17" t="str">
        <x:v>G4冻结</x:v>
      </x:c>
      <x:c r="C5" s="17" t="str">
        <x:v>frozen</x:v>
      </x:c>
      <x:c r="D5" s="17" t="str">
        <x:v>通过</x:v>
      </x:c>
      <x:c r="E5" s="17" t="str">
        <x:v>frozen/Q2/frozen_numbers.json</x:v>
      </x:c>
      <x:c r="F5" s="17" t="str">
        <x:v>所有论文数字应从冻结结果读取</x:v>
      </x:c>
    </x:row>
    <x:row r="6" ht="20" customHeight="1">
      <x:c r="A6" s="17" t="str">
        <x:v>求解器</x:v>
      </x:c>
      <x:c r="B6" s="17" t="str">
        <x:v>求解状态</x:v>
      </x:c>
      <x:c r="C6" s="17" t="str">
        <x:v>Optimization terminated successfully. (HiGHS Status 7: Optimal)</x:v>
      </x:c>
      <x:c r="D6" s="17" t="str">
        <x:v>通过</x:v>
      </x:c>
      <x:c r="E6" s="17" t="str">
        <x:v>run_summary.json</x:v>
      </x:c>
      <x:c r="F6" s="17" t="str">
        <x:v>MIP gap=0</x:v>
      </x:c>
    </x:row>
    <x:row r="7" ht="20" customHeight="1">
      <x:c r="A7" s="17" t="str">
        <x:v>求解器</x:v>
      </x:c>
      <x:c r="B7" s="17" t="str">
        <x:v>运行时间（秒）</x:v>
      </x:c>
      <x:c r="C7" s="17" t="n">
        <x:v>2.685842800000046</x:v>
      </x:c>
      <x:c r="D7" s="17" t="str">
        <x:v>通过</x:v>
      </x:c>
      <x:c r="E7" s="17" t="str">
        <x:v>run_summary.json</x:v>
      </x:c>
      <x:c r="F7" s="17" t="str">
        <x:v>节点数=3</x:v>
      </x:c>
    </x:row>
    <x:row r="8" ht="20" customHeight="1">
      <x:c r="A8" s="17" t="str">
        <x:v>环境</x:v>
      </x:c>
      <x:c r="B8" s="17" t="str">
        <x:v>Python</x:v>
      </x:c>
      <x:c r="C8" s="17" t="str">
        <x:v>3.13.0 (tags/v3.13.0:60403a5, Oct  7 2024, 09:38:07) [MSC v.1941 64 bit (AMD64)]</x:v>
      </x:c>
      <x:c r="D8" s="17" t="str">
        <x:v>记录</x:v>
      </x:c>
      <x:c r="E8" s="17" t="str">
        <x:v>run_summary.json</x:v>
      </x:c>
      <x:c r="F8" s="17" t="str">
        <x:v>Windows-11-10.0.22621-SP0</x:v>
      </x:c>
    </x:row>
    <x:row r="9" ht="20" customHeight="1">
      <x:c r="A9" s="17" t="str">
        <x:v>环境</x:v>
      </x:c>
      <x:c r="B9" s="17" t="str">
        <x:v>求解器</x:v>
      </x:c>
      <x:c r="C9" s="17" t="str">
        <x:v>scipy.optimize.milp / HiGHS</x:v>
      </x:c>
      <x:c r="D9" s="17" t="str">
        <x:v>记录</x:v>
      </x:c>
      <x:c r="E9" s="17" t="str">
        <x:v>run_summary.json</x:v>
      </x:c>
      <x:c r="F9" s="17" t="str">
        <x:v>SciPy 1.17.1</x:v>
      </x:c>
    </x:row>
    <x:row r="10" ht="20" customHeight="1">
      <x:c r="A10" s="17" t="str">
        <x:v>输入哈希</x:v>
      </x:c>
      <x:c r="B10" s="17" t="str">
        <x:v>附件1.csv</x:v>
      </x:c>
      <x:c r="C10" s="17" t="str">
        <x:v>9d8ae982aae1484e84c91bcfb2808938ed396f6c8ea4a49fa3801a72bd298e7d</x:v>
      </x:c>
      <x:c r="D10" s="17" t="str">
        <x:v>通过</x:v>
      </x:c>
      <x:c r="E10" s="17" t="str">
        <x:v>run_summary.json</x:v>
      </x:c>
      <x:c r="F10" s="17" t="str">
        <x:v>5348行</x:v>
      </x:c>
    </x:row>
    <x:row r="11" ht="20" customHeight="1">
      <x:c r="A11" s="17" t="str">
        <x:v>输入哈希</x:v>
      </x:c>
      <x:c r="B11" s="17" t="str">
        <x:v>附件2.csv</x:v>
      </x:c>
      <x:c r="C11" s="17" t="str">
        <x:v>591f4cda133937a5996a5b1ab05c8264dc7315464ea883b72f90ae9918a75cdd</x:v>
      </x:c>
      <x:c r="D11" s="17" t="str">
        <x:v>通过</x:v>
      </x:c>
      <x:c r="E11" s="17" t="str">
        <x:v>run_summary.json</x:v>
      </x:c>
      <x:c r="F11" s="17" t="str">
        <x:v>27行</x:v>
      </x:c>
    </x:row>
    <x:row r="12" ht="20" customHeight="1">
      <x:c r="A12" s="17" t="str">
        <x:v>一致性检查</x:v>
      </x:c>
      <x:c r="B12" s="17" t="str">
        <x:v>schedule_has_140_slots</x:v>
      </x:c>
      <x:c r="C12" s="17" t="str">
        <x:v>true</x:v>
      </x:c>
      <x:c r="D12" s="17" t="str">
        <x:v>通过</x:v>
      </x:c>
      <x:c r="E12" s="17" t="str">
        <x:v>q2_verification.json</x:v>
      </x:c>
      <x:c r="F12" s="17" t="str"/>
    </x:row>
    <x:row r="13" ht="20" customHeight="1">
      <x:c r="A13" s="17" t="str">
        <x:v>一致性检查</x:v>
      </x:c>
      <x:c r="B13" s="17" t="str">
        <x:v>slot_keys_unique</x:v>
      </x:c>
      <x:c r="C13" s="17" t="str">
        <x:v>true</x:v>
      </x:c>
      <x:c r="D13" s="17" t="str">
        <x:v>通过</x:v>
      </x:c>
      <x:c r="E13" s="17" t="str">
        <x:v>q2_verification.json</x:v>
      </x:c>
      <x:c r="F13" s="17" t="str"/>
    </x:row>
    <x:row r="14" ht="20" customHeight="1">
      <x:c r="A14" s="17" t="str">
        <x:v>一致性检查</x:v>
      </x:c>
      <x:c r="B14" s="17" t="str">
        <x:v>fourteen_lines</x:v>
      </x:c>
      <x:c r="C14" s="17" t="str">
        <x:v>true</x:v>
      </x:c>
      <x:c r="D14" s="17" t="str">
        <x:v>通过</x:v>
      </x:c>
      <x:c r="E14" s="17" t="str">
        <x:v>q2_verification.json</x:v>
      </x:c>
      <x:c r="F14" s="17" t="str"/>
    </x:row>
    <x:row r="15" ht="20" customHeight="1">
      <x:c r="A15" s="17" t="str">
        <x:v>一致性检查</x:v>
      </x:c>
      <x:c r="B15" s="17" t="str">
        <x:v>ten_slots_per_line</x:v>
      </x:c>
      <x:c r="C15" s="17" t="str">
        <x:v>true</x:v>
      </x:c>
      <x:c r="D15" s="17" t="str">
        <x:v>通过</x:v>
      </x:c>
      <x:c r="E15" s="17" t="str">
        <x:v>q2_verification.json</x:v>
      </x:c>
      <x:c r="F15" s="17" t="str"/>
    </x:row>
    <x:row r="16" ht="20" customHeight="1">
      <x:c r="A16" s="17" t="str">
        <x:v>一致性检查</x:v>
      </x:c>
      <x:c r="B16" s="17" t="str">
        <x:v>all_assignments_compatible</x:v>
      </x:c>
      <x:c r="C16" s="17" t="str">
        <x:v>true</x:v>
      </x:c>
      <x:c r="D16" s="17" t="str">
        <x:v>通过</x:v>
      </x:c>
      <x:c r="E16" s="17" t="str">
        <x:v>q2_verification.json</x:v>
      </x:c>
      <x:c r="F16" s="17" t="str"/>
    </x:row>
    <x:row r="17" ht="20" customHeight="1">
      <x:c r="A17" s="17" t="str">
        <x:v>一致性检查</x:v>
      </x:c>
      <x:c r="B17" s="17" t="str">
        <x:v>no_capacity_violation</x:v>
      </x:c>
      <x:c r="C17" s="17" t="str">
        <x:v>true</x:v>
      </x:c>
      <x:c r="D17" s="17" t="str">
        <x:v>通过</x:v>
      </x:c>
      <x:c r="E17" s="17" t="str">
        <x:v>q2_verification.json</x:v>
      </x:c>
      <x:c r="F17" s="17" t="str"/>
    </x:row>
    <x:row r="18" ht="20" customHeight="1">
      <x:c r="A18" s="17" t="str">
        <x:v>一致性检查</x:v>
      </x:c>
      <x:c r="B18" s="17" t="str">
        <x:v>positive_active_quantities</x:v>
      </x:c>
      <x:c r="C18" s="17" t="str">
        <x:v>true</x:v>
      </x:c>
      <x:c r="D18" s="17" t="str">
        <x:v>通过</x:v>
      </x:c>
      <x:c r="E18" s="17" t="str">
        <x:v>q2_verification.json</x:v>
      </x:c>
      <x:c r="F18" s="17" t="str"/>
    </x:row>
    <x:row r="19" ht="20" customHeight="1">
      <x:c r="A19" s="17" t="str">
        <x:v>一致性检查</x:v>
      </x:c>
      <x:c r="B19" s="17" t="str">
        <x:v>no_demand_overshoot</x:v>
      </x:c>
      <x:c r="C19" s="17" t="str">
        <x:v>true</x:v>
      </x:c>
      <x:c r="D19" s="17" t="str">
        <x:v>通过</x:v>
      </x:c>
      <x:c r="E19" s="17" t="str">
        <x:v>q2_verification.json</x:v>
      </x:c>
      <x:c r="F19" s="17" t="str"/>
    </x:row>
    <x:row r="20" ht="20" customHeight="1">
      <x:c r="A20" s="17" t="str">
        <x:v>一致性检查</x:v>
      </x:c>
      <x:c r="B20" s="17" t="str">
        <x:v>frozen_total_demand_matches</x:v>
      </x:c>
      <x:c r="C20" s="17" t="str">
        <x:v>true</x:v>
      </x:c>
      <x:c r="D20" s="17" t="str">
        <x:v>通过</x:v>
      </x:c>
      <x:c r="E20" s="17" t="str">
        <x:v>q2_verification.json</x:v>
      </x:c>
      <x:c r="F20" s="17" t="str"/>
    </x:row>
    <x:row r="21" ht="20" customHeight="1">
      <x:c r="A21" s="17" t="str">
        <x:v>一致性检查</x:v>
      </x:c>
      <x:c r="B21" s="17" t="str">
        <x:v>frozen_total_production_matches</x:v>
      </x:c>
      <x:c r="C21" s="17" t="str">
        <x:v>true</x:v>
      </x:c>
      <x:c r="D21" s="17" t="str">
        <x:v>通过</x:v>
      </x:c>
      <x:c r="E21" s="17" t="str">
        <x:v>q2_verification.json</x:v>
      </x:c>
      <x:c r="F21" s="17" t="str"/>
    </x:row>
    <x:row r="22" ht="20" customHeight="1">
      <x:c r="A22" s="17" t="str">
        <x:v>一致性检查</x:v>
      </x:c>
      <x:c r="B22" s="17" t="str">
        <x:v>frozen_shortage_matches</x:v>
      </x:c>
      <x:c r="C22" s="17" t="str">
        <x:v>true</x:v>
      </x:c>
      <x:c r="D22" s="17" t="str">
        <x:v>通过</x:v>
      </x:c>
      <x:c r="E22" s="17" t="str">
        <x:v>q2_verification.json</x:v>
      </x:c>
      <x:c r="F22" s="17" t="str"/>
    </x:row>
    <x:row r="23" ht="20" customHeight="1">
      <x:c r="A23" s="17" t="str">
        <x:v>一致性检查</x:v>
      </x:c>
      <x:c r="B23" s="17" t="str">
        <x:v>frozen_switches_match</x:v>
      </x:c>
      <x:c r="C23" s="17" t="str">
        <x:v>true</x:v>
      </x:c>
      <x:c r="D23" s="17" t="str">
        <x:v>通过</x:v>
      </x:c>
      <x:c r="E23" s="17" t="str">
        <x:v>q2_verification.json</x:v>
      </x:c>
      <x:c r="F23" s="17" t="str"/>
    </x:row>
    <x:row r="24" ht="20" customHeight="1">
      <x:c r="A24" s="17" t="str">
        <x:v>一致性检查</x:v>
      </x:c>
      <x:c r="B24" s="17" t="str">
        <x:v>run_summary_matches_frozen</x:v>
      </x:c>
      <x:c r="C24" s="17" t="str">
        <x:v>true</x:v>
      </x:c>
      <x:c r="D24" s="17" t="str">
        <x:v>通过</x:v>
      </x:c>
      <x:c r="E24" s="17" t="str">
        <x:v>q2_verification.json</x:v>
      </x:c>
      <x:c r="F24" s="17" t="str"/>
    </x:row>
    <x:row r="25" ht="20" customHeight="1">
      <x:c r="A25" s="17" t="str">
        <x:v>一致性检查</x:v>
      </x:c>
      <x:c r="B25" s="17" t="str">
        <x:v>history_hash_matches</x:v>
      </x:c>
      <x:c r="C25" s="17" t="str">
        <x:v>true</x:v>
      </x:c>
      <x:c r="D25" s="17" t="str">
        <x:v>通过</x:v>
      </x:c>
      <x:c r="E25" s="17" t="str">
        <x:v>q2_verification.json</x:v>
      </x:c>
      <x:c r="F25" s="17" t="str"/>
    </x:row>
    <x:row r="26" ht="20" customHeight="1">
      <x:c r="A26" s="17" t="str">
        <x:v>一致性检查</x:v>
      </x:c>
      <x:c r="B26" s="17" t="str">
        <x:v>demand_hash_matches</x:v>
      </x:c>
      <x:c r="C26" s="17" t="str">
        <x:v>true</x:v>
      </x:c>
      <x:c r="D26" s="17" t="str">
        <x:v>通过</x:v>
      </x:c>
      <x:c r="E26" s="17" t="str">
        <x:v>q2_verification.json</x:v>
      </x:c>
      <x:c r="F26" s="17" t="str"/>
    </x:row>
    <x:row r="27" ht="20" customHeight="1">
      <x:c r="A27" s="17" t="str">
        <x:v>一致性检查</x:v>
      </x:c>
      <x:c r="B27" s="17" t="str">
        <x:v>utf8_bom:q2_capacity_matrix_q95.csv</x:v>
      </x:c>
      <x:c r="C27" s="17" t="str">
        <x:v>true</x:v>
      </x:c>
      <x:c r="D27" s="17" t="str">
        <x:v>通过</x:v>
      </x:c>
      <x:c r="E27" s="17" t="str">
        <x:v>q2_verification.json</x:v>
      </x:c>
      <x:c r="F27" s="17" t="str"/>
    </x:row>
    <x:row r="28" ht="20" customHeight="1">
      <x:c r="A28" s="17" t="str">
        <x:v>一致性检查</x:v>
      </x:c>
      <x:c r="B28" s="17" t="str">
        <x:v>utf8_bom:q2_demand_fulfillment.csv</x:v>
      </x:c>
      <x:c r="C28" s="17" t="str">
        <x:v>true</x:v>
      </x:c>
      <x:c r="D28" s="17" t="str">
        <x:v>通过</x:v>
      </x:c>
      <x:c r="E28" s="17" t="str">
        <x:v>q2_verification.json</x:v>
      </x:c>
      <x:c r="F28" s="17" t="str"/>
    </x:row>
    <x:row r="29" ht="20" customHeight="1">
      <x:c r="A29" s="17" t="str">
        <x:v>一致性检查</x:v>
      </x:c>
      <x:c r="B29" s="17" t="str">
        <x:v>utf8_bom:q2_demand_fulfillment_balanced.csv</x:v>
      </x:c>
      <x:c r="C29" s="17" t="str">
        <x:v>true</x:v>
      </x:c>
      <x:c r="D29" s="17" t="str">
        <x:v>通过</x:v>
      </x:c>
      <x:c r="E29" s="17" t="str">
        <x:v>q2_verification.json</x:v>
      </x:c>
      <x:c r="F29" s="17" t="str"/>
    </x:row>
    <x:row r="30" ht="20" customHeight="1">
      <x:c r="A30" s="17" t="str">
        <x:v>一致性检查</x:v>
      </x:c>
      <x:c r="B30" s="17" t="str">
        <x:v>utf8_bom:q2_demand_fulfillment_greedy.csv</x:v>
      </x:c>
      <x:c r="C30" s="17" t="str">
        <x:v>true</x:v>
      </x:c>
      <x:c r="D30" s="17" t="str">
        <x:v>通过</x:v>
      </x:c>
      <x:c r="E30" s="17" t="str">
        <x:v>q2_verification.json</x:v>
      </x:c>
      <x:c r="F30" s="17" t="str"/>
    </x:row>
    <x:row r="31" ht="20" customHeight="1">
      <x:c r="A31" s="17" t="str">
        <x:v>一致性检查</x:v>
      </x:c>
      <x:c r="B31" s="17" t="str">
        <x:v>utf8_bom:q2_schedule_balanced.csv</x:v>
      </x:c>
      <x:c r="C31" s="17" t="str">
        <x:v>true</x:v>
      </x:c>
      <x:c r="D31" s="17" t="str">
        <x:v>通过</x:v>
      </x:c>
      <x:c r="E31" s="17" t="str">
        <x:v>q2_verification.json</x:v>
      </x:c>
      <x:c r="F31" s="17" t="str"/>
    </x:row>
    <x:row r="32" ht="20" customHeight="1">
      <x:c r="A32" s="17" t="str">
        <x:v>一致性检查</x:v>
      </x:c>
      <x:c r="B32" s="17" t="str">
        <x:v>utf8_bom:q2_schedule_greedy.csv</x:v>
      </x:c>
      <x:c r="C32" s="17" t="str">
        <x:v>true</x:v>
      </x:c>
      <x:c r="D32" s="17" t="str">
        <x:v>通过</x:v>
      </x:c>
      <x:c r="E32" s="17" t="str">
        <x:v>q2_verification.json</x:v>
      </x:c>
      <x:c r="F32" s="17" t="str"/>
    </x:row>
    <x:row r="33" ht="20" customHeight="1">
      <x:c r="A33" s="17" t="str">
        <x:v>一致性检查</x:v>
      </x:c>
      <x:c r="B33" s="17" t="str">
        <x:v>utf8_bom:q2_schedule_milp.csv</x:v>
      </x:c>
      <x:c r="C33" s="17" t="str">
        <x:v>true</x:v>
      </x:c>
      <x:c r="D33" s="17" t="str">
        <x:v>通过</x:v>
      </x:c>
      <x:c r="E33" s="17" t="str">
        <x:v>q2_verification.json</x:v>
      </x:c>
      <x:c r="F33" s="17" t="str"/>
    </x:row>
    <x:row r="34" ht="20" customHeight="1">
      <x:c r="A34" s="17" t="str">
        <x:v>一致性检查</x:v>
      </x:c>
      <x:c r="B34" s="17" t="str">
        <x:v>utf8_bom:q2_sensitivity.csv</x:v>
      </x:c>
      <x:c r="C34" s="17" t="str">
        <x:v>true</x:v>
      </x:c>
      <x:c r="D34" s="17" t="str">
        <x:v>通过</x:v>
      </x:c>
      <x:c r="E34" s="17" t="str">
        <x:v>q2_verification.json</x:v>
      </x:c>
      <x:c r="F34" s="17" t="str"/>
    </x:row>
    <x:row r="35" ht="20" customHeight="1">
      <x:c r="A35" s="17" t="str">
        <x:v>一致性检查</x:v>
      </x:c>
      <x:c r="B35" s="17" t="str">
        <x:v>figure_nonempty:q2_schedule_heatmap.png</x:v>
      </x:c>
      <x:c r="C35" s="17" t="str">
        <x:v>true</x:v>
      </x:c>
      <x:c r="D35" s="17" t="str">
        <x:v>通过</x:v>
      </x:c>
      <x:c r="E35" s="17" t="str">
        <x:v>q2_verification.json</x:v>
      </x:c>
      <x:c r="F35" s="17" t="str"/>
    </x:row>
    <x:row r="36" ht="20" customHeight="1">
      <x:c r="A36" s="17" t="str">
        <x:v>一致性检查</x:v>
      </x:c>
      <x:c r="B36" s="17" t="str">
        <x:v>figure_nonempty:q2_fulfillment_rates.png</x:v>
      </x:c>
      <x:c r="C36" s="17" t="str">
        <x:v>true</x:v>
      </x:c>
      <x:c r="D36" s="17" t="str">
        <x:v>通过</x:v>
      </x:c>
      <x:c r="E36" s="17" t="str">
        <x:v>q2_verification.json</x:v>
      </x:c>
      <x:c r="F36" s="17" t="str"/>
    </x:row>
    <x:row r="37" ht="20" customHeight="1">
      <x:c r="A37" s="17" t="str">
        <x:v>一致性检查</x:v>
      </x:c>
      <x:c r="B37" s="17" t="str">
        <x:v>figure_nonempty:q2_sensitivity.png</x:v>
      </x:c>
      <x:c r="C37" s="17" t="str">
        <x:v>true</x:v>
      </x:c>
      <x:c r="D37" s="17" t="str">
        <x:v>通过</x:v>
      </x:c>
      <x:c r="E37" s="17" t="str">
        <x:v>q2_verification.json</x:v>
      </x:c>
      <x:c r="F37" s="17" t="str"/>
    </x:row>
  </x:sheetData>
  <x:mergeCells>
    <x:mergeCell ref="A1:F1"/>
    <x:mergeCell ref="A2:F2"/>
  </x:mergeCells>
  <x:conditionalFormatting sqref="D5:D37">
    <x:cfRule type="containsText" dxfId="3" priority="1" operator="containsText" text="通过"/>
    <x:cfRule type="containsText" dxfId="4" priority="2" operator="containsText" text="失败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0" customHeight="1">
      <x:c r="A1" s="4" t="str">
        <x:v>主方案周排产热力图</x:v>
      </x:c>
      <x:c r="B1" s="4" t="str">
        <x:v>主方案周排产热力图</x:v>
      </x:c>
      <x:c r="C1" s="4" t="str">
        <x:v>主方案周排产热力图</x:v>
      </x:c>
      <x:c r="D1" s="4" t="str">
        <x:v>主方案周排产热力图</x:v>
      </x:c>
      <x:c r="E1" s="4" t="str">
        <x:v>主方案周排产热力图</x:v>
      </x:c>
      <x:c r="F1" s="4" t="str">
        <x:v>主方案周排产热力图</x:v>
      </x:c>
      <x:c r="G1" s="4" t="str">
        <x:v>主方案周排产热力图</x:v>
      </x:c>
      <x:c r="H1" s="4" t="str">
        <x:v>主方案周排产热力图</x:v>
      </x:c>
      <x:c r="I1" s="4" t="str">
        <x:v>主方案周排产热力图</x:v>
      </x:c>
      <x:c r="J1" s="4" t="str">
        <x:v>主方案周排产热力图</x:v>
      </x:c>
      <x:c r="K1" s="4" t="str">
        <x:v>主方案周排产热力图</x:v>
      </x:c>
      <x:c r="L1" s="4" t="str">
        <x:v>主方案周排产热力图</x:v>
      </x:c>
      <x:c r="M1" s="4" t="str">
        <x:v>主方案周排产热力图</x:v>
      </x:c>
      <x:c r="N1" s="4" t="str">
        <x:v>主方案周排产热力图</x:v>
      </x:c>
      <x:c r="O1" s="4" t="str">
        <x:v>主方案周排产热力图</x:v>
      </x:c>
      <x:c r="P1" s="4" t="str">
        <x:v>主方案周排产热力图</x:v>
      </x:c>
    </x:row>
    <x:row r="2" ht="22" customHeight="1">
      <x:c r="A2" s="8" t="str">
        <x:v>图中数据均来自同次冻结求解输出</x:v>
      </x:c>
      <x:c r="B2" s="8" t="str">
        <x:v>图中数据均来自同次冻结求解输出</x:v>
      </x:c>
      <x:c r="C2" s="8" t="str">
        <x:v>图中数据均来自同次冻结求解输出</x:v>
      </x:c>
      <x:c r="D2" s="8" t="str">
        <x:v>图中数据均来自同次冻结求解输出</x:v>
      </x:c>
      <x:c r="E2" s="8" t="str">
        <x:v>图中数据均来自同次冻结求解输出</x:v>
      </x:c>
      <x:c r="F2" s="8" t="str">
        <x:v>图中数据均来自同次冻结求解输出</x:v>
      </x:c>
      <x:c r="G2" s="8" t="str">
        <x:v>图中数据均来自同次冻结求解输出</x:v>
      </x:c>
      <x:c r="H2" s="8" t="str">
        <x:v>图中数据均来自同次冻结求解输出</x:v>
      </x:c>
      <x:c r="I2" s="8" t="str">
        <x:v>图中数据均来自同次冻结求解输出</x:v>
      </x:c>
      <x:c r="J2" s="8" t="str">
        <x:v>图中数据均来自同次冻结求解输出</x:v>
      </x:c>
      <x:c r="K2" s="8" t="str">
        <x:v>图中数据均来自同次冻结求解输出</x:v>
      </x:c>
      <x:c r="L2" s="8" t="str">
        <x:v>图中数据均来自同次冻结求解输出</x:v>
      </x:c>
      <x:c r="M2" s="8" t="str">
        <x:v>图中数据均来自同次冻结求解输出</x:v>
      </x:c>
      <x:c r="N2" s="8" t="str">
        <x:v>图中数据均来自同次冻结求解输出</x:v>
      </x:c>
      <x:c r="O2" s="8" t="str">
        <x:v>图中数据均来自同次冻结求解输出</x:v>
      </x:c>
      <x:c r="P2" s="8" t="str">
        <x:v>图中数据均来自同次冻结求解输出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49868018c3ce4e95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0" customHeight="1">
      <x:c r="A1" s="4" t="str">
        <x:v>各产品组合需求完成率</x:v>
      </x:c>
      <x:c r="B1" s="4" t="str">
        <x:v>各产品组合需求完成率</x:v>
      </x:c>
      <x:c r="C1" s="4" t="str">
        <x:v>各产品组合需求完成率</x:v>
      </x:c>
      <x:c r="D1" s="4" t="str">
        <x:v>各产品组合需求完成率</x:v>
      </x:c>
      <x:c r="E1" s="4" t="str">
        <x:v>各产品组合需求完成率</x:v>
      </x:c>
      <x:c r="F1" s="4" t="str">
        <x:v>各产品组合需求完成率</x:v>
      </x:c>
      <x:c r="G1" s="4" t="str">
        <x:v>各产品组合需求完成率</x:v>
      </x:c>
      <x:c r="H1" s="4" t="str">
        <x:v>各产品组合需求完成率</x:v>
      </x:c>
      <x:c r="I1" s="4" t="str">
        <x:v>各产品组合需求完成率</x:v>
      </x:c>
      <x:c r="J1" s="4" t="str">
        <x:v>各产品组合需求完成率</x:v>
      </x:c>
      <x:c r="K1" s="4" t="str">
        <x:v>各产品组合需求完成率</x:v>
      </x:c>
      <x:c r="L1" s="4" t="str">
        <x:v>各产品组合需求完成率</x:v>
      </x:c>
      <x:c r="M1" s="4" t="str">
        <x:v>各产品组合需求完成率</x:v>
      </x:c>
      <x:c r="N1" s="4" t="str">
        <x:v>各产品组合需求完成率</x:v>
      </x:c>
      <x:c r="O1" s="4" t="str">
        <x:v>各产品组合需求完成率</x:v>
      </x:c>
      <x:c r="P1" s="4" t="str">
        <x:v>各产品组合需求完成率</x:v>
      </x:c>
    </x:row>
    <x:row r="2" ht="22" customHeight="1">
      <x:c r="A2" s="8" t="str">
        <x:v>图中数据均来自同次冻结求解输出</x:v>
      </x:c>
      <x:c r="B2" s="8" t="str">
        <x:v>图中数据均来自同次冻结求解输出</x:v>
      </x:c>
      <x:c r="C2" s="8" t="str">
        <x:v>图中数据均来自同次冻结求解输出</x:v>
      </x:c>
      <x:c r="D2" s="8" t="str">
        <x:v>图中数据均来自同次冻结求解输出</x:v>
      </x:c>
      <x:c r="E2" s="8" t="str">
        <x:v>图中数据均来自同次冻结求解输出</x:v>
      </x:c>
      <x:c r="F2" s="8" t="str">
        <x:v>图中数据均来自同次冻结求解输出</x:v>
      </x:c>
      <x:c r="G2" s="8" t="str">
        <x:v>图中数据均来自同次冻结求解输出</x:v>
      </x:c>
      <x:c r="H2" s="8" t="str">
        <x:v>图中数据均来自同次冻结求解输出</x:v>
      </x:c>
      <x:c r="I2" s="8" t="str">
        <x:v>图中数据均来自同次冻结求解输出</x:v>
      </x:c>
      <x:c r="J2" s="8" t="str">
        <x:v>图中数据均来自同次冻结求解输出</x:v>
      </x:c>
      <x:c r="K2" s="8" t="str">
        <x:v>图中数据均来自同次冻结求解输出</x:v>
      </x:c>
      <x:c r="L2" s="8" t="str">
        <x:v>图中数据均来自同次冻结求解输出</x:v>
      </x:c>
      <x:c r="M2" s="8" t="str">
        <x:v>图中数据均来自同次冻结求解输出</x:v>
      </x:c>
      <x:c r="N2" s="8" t="str">
        <x:v>图中数据均来自同次冻结求解输出</x:v>
      </x:c>
      <x:c r="O2" s="8" t="str">
        <x:v>图中数据均来自同次冻结求解输出</x:v>
      </x:c>
      <x:c r="P2" s="8" t="str">
        <x:v>图中数据均来自同次冻结求解输出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529e1e858a5f40ee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0" customHeight="1">
      <x:c r="A1" s="4" t="str">
        <x:v>产能情景敏感性结果</x:v>
      </x:c>
      <x:c r="B1" s="4" t="str">
        <x:v>产能情景敏感性结果</x:v>
      </x:c>
      <x:c r="C1" s="4" t="str">
        <x:v>产能情景敏感性结果</x:v>
      </x:c>
      <x:c r="D1" s="4" t="str">
        <x:v>产能情景敏感性结果</x:v>
      </x:c>
      <x:c r="E1" s="4" t="str">
        <x:v>产能情景敏感性结果</x:v>
      </x:c>
      <x:c r="F1" s="4" t="str">
        <x:v>产能情景敏感性结果</x:v>
      </x:c>
      <x:c r="G1" s="4" t="str">
        <x:v>产能情景敏感性结果</x:v>
      </x:c>
      <x:c r="H1" s="4" t="str">
        <x:v>产能情景敏感性结果</x:v>
      </x:c>
      <x:c r="I1" s="4" t="str">
        <x:v>产能情景敏感性结果</x:v>
      </x:c>
      <x:c r="J1" s="4" t="str">
        <x:v>产能情景敏感性结果</x:v>
      </x:c>
      <x:c r="K1" s="4" t="str">
        <x:v>产能情景敏感性结果</x:v>
      </x:c>
      <x:c r="L1" s="4" t="str">
        <x:v>产能情景敏感性结果</x:v>
      </x:c>
      <x:c r="M1" s="4" t="str">
        <x:v>产能情景敏感性结果</x:v>
      </x:c>
      <x:c r="N1" s="4" t="str">
        <x:v>产能情景敏感性结果</x:v>
      </x:c>
      <x:c r="O1" s="4" t="str">
        <x:v>产能情景敏感性结果</x:v>
      </x:c>
      <x:c r="P1" s="4" t="str">
        <x:v>产能情景敏感性结果</x:v>
      </x:c>
    </x:row>
    <x:row r="2" ht="22" customHeight="1">
      <x:c r="A2" s="8" t="str">
        <x:v>图中数据均来自同次冻结求解输出</x:v>
      </x:c>
      <x:c r="B2" s="8" t="str">
        <x:v>图中数据均来自同次冻结求解输出</x:v>
      </x:c>
      <x:c r="C2" s="8" t="str">
        <x:v>图中数据均来自同次冻结求解输出</x:v>
      </x:c>
      <x:c r="D2" s="8" t="str">
        <x:v>图中数据均来自同次冻结求解输出</x:v>
      </x:c>
      <x:c r="E2" s="8" t="str">
        <x:v>图中数据均来自同次冻结求解输出</x:v>
      </x:c>
      <x:c r="F2" s="8" t="str">
        <x:v>图中数据均来自同次冻结求解输出</x:v>
      </x:c>
      <x:c r="G2" s="8" t="str">
        <x:v>图中数据均来自同次冻结求解输出</x:v>
      </x:c>
      <x:c r="H2" s="8" t="str">
        <x:v>图中数据均来自同次冻结求解输出</x:v>
      </x:c>
      <x:c r="I2" s="8" t="str">
        <x:v>图中数据均来自同次冻结求解输出</x:v>
      </x:c>
      <x:c r="J2" s="8" t="str">
        <x:v>图中数据均来自同次冻结求解输出</x:v>
      </x:c>
      <x:c r="K2" s="8" t="str">
        <x:v>图中数据均来自同次冻结求解输出</x:v>
      </x:c>
      <x:c r="L2" s="8" t="str">
        <x:v>图中数据均来自同次冻结求解输出</x:v>
      </x:c>
      <x:c r="M2" s="8" t="str">
        <x:v>图中数据均来自同次冻结求解输出</x:v>
      </x:c>
      <x:c r="N2" s="8" t="str">
        <x:v>图中数据均来自同次冻结求解输出</x:v>
      </x:c>
      <x:c r="O2" s="8" t="str">
        <x:v>图中数据均来自同次冻结求解输出</x:v>
      </x:c>
      <x:c r="P2" s="8" t="str">
        <x:v>图中数据均来自同次冻结求解输出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7d43fbb87fff49a5"/>
</x:worksheet>
</file>